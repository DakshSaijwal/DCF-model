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IS" sheetId="4" state="visible" r:id="rId6"/>
    <sheet name="Schedules" sheetId="5" state="visible" r:id="rId7"/>
    <sheet name="CFS" sheetId="6" state="visible" r:id="rId8"/>
    <sheet name="BS" sheetId="7" state="visible" r:id="rId9"/>
    <sheet name="WACC" sheetId="8" state="visible" r:id="rId10"/>
    <sheet name="DCF" sheetId="9" state="visible" r:id="rId11"/>
    <sheet name="Sensitivit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<sst xmlns="http://schemas.openxmlformats.org/spreadsheetml/2006/main" count="349" uniqueCount="245">
  <si>
    <t xml:space="preserve">HAVELLS INDIA LIMITED</t>
  </si>
  <si>
    <t xml:space="preserve">Three-Statement Operating Model &amp; Discounted Cash Flow Valuation</t>
  </si>
  <si>
    <t xml:space="preserve">Ticker</t>
  </si>
  <si>
    <t xml:space="preserve">NSE: HAVELLS  |  BSE: 517354</t>
  </si>
  <si>
    <t xml:space="preserve">Sector</t>
  </si>
  <si>
    <t xml:space="preserve">Electrical equipment / Fast-moving electrical goods (FMEG)</t>
  </si>
  <si>
    <t xml:space="preserve">Reporting basis</t>
  </si>
  <si>
    <t xml:space="preserve">STANDALONE (subsidiaries immaterial: standalone is ~99.7% of consolidated revenue)</t>
  </si>
  <si>
    <t xml:space="preserve">Units</t>
  </si>
  <si>
    <t xml:space="preserve">INR crore unless stated otherwise</t>
  </si>
  <si>
    <t xml:space="preserve">Fiscal year end</t>
  </si>
  <si>
    <t xml:space="preserve">31 March</t>
  </si>
  <si>
    <t xml:space="preserve">Historical period</t>
  </si>
  <si>
    <t xml:space="preserve">FY2025A - FY2026A</t>
  </si>
  <si>
    <t xml:space="preserve">Forecast period</t>
  </si>
  <si>
    <t xml:space="preserve">FY2027E - FY2031E (5 years)</t>
  </si>
  <si>
    <t xml:space="preserve">Prepared by</t>
  </si>
  <si>
    <t xml:space="preserve">&lt;&lt; YOUR NAME &gt;&gt;</t>
  </si>
  <si>
    <t xml:space="preserve">Date</t>
  </si>
  <si>
    <t xml:space="preserve">&lt;&lt; DATE &gt;&gt;</t>
  </si>
  <si>
    <t xml:space="preserve">Primary source</t>
  </si>
  <si>
    <t xml:space="preserve">Havells India Ltd, Information Update on Financial Results for Q4 and FY ended 31 Mar 2026, filed with NSE/BSE 22 April 2026</t>
  </si>
  <si>
    <t xml:space="preserve">Secondary sources</t>
  </si>
  <si>
    <t xml:space="preserve">Annual Reports FY22-FY26; quarterly earnings call transcripts; RBI (G-Sec yield); NYU Stern / Damodaran (equity risk premium, unlevered betas)</t>
  </si>
  <si>
    <t xml:space="preserve">Colour convention</t>
  </si>
  <si>
    <t xml:space="preserve">BLUE = hardcoded input   |   BLACK = formula on this sheet   |   GREEN = link from another sheet   |   YELLOW FILL = assumption requiring written justification</t>
  </si>
  <si>
    <t xml:space="preserve">Disclaimer</t>
  </si>
  <si>
    <t xml:space="preserve">This model was built as an educational exercise. It is not investment research and is not a recommendation to buy or sell any security. All forward-looking figures are the author's own estimates.</t>
  </si>
  <si>
    <t xml:space="preserve">HOW TO USE</t>
  </si>
  <si>
    <t xml:space="preserve">1.  Open the 'Assumptions' tab. Every yellow cell is an input you own. Change one and the entire model recalculates.</t>
  </si>
  <si>
    <t xml:space="preserve">2.  'Check' on the Balance Sheet tab must read zero in every column. If it does not, the model is broken - do not use the output.</t>
  </si>
  <si>
    <t xml:space="preserve">3.  Fill the yellow inputs on 'WACC' with figures you pulled yourself, on a date you record.</t>
  </si>
  <si>
    <t xml:space="preserve">4.  Read the DCF output alongside 'Sensitivity' - a single point estimate is not a valuation.</t>
  </si>
  <si>
    <t xml:space="preserve">5.  Record the reasoning behind every input in docs/assumptions_log.md. That document, not this file, is what you will be questioned on.</t>
  </si>
  <si>
    <t xml:space="preserve">ASSUMPTIONS</t>
  </si>
  <si>
    <t xml:space="preserve">Yellow cells are inputs. Justify each one in docs/assumptions_log.md before presenting this model.</t>
  </si>
  <si>
    <t xml:space="preserve">INR crore</t>
  </si>
  <si>
    <t xml:space="preserve">FY25A</t>
  </si>
  <si>
    <t xml:space="preserve">FY26A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</si>
  <si>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</si>
  <si>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</si>
  <si>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</si>
  <si>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</si>
  <si>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</si>
  <si>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REVENUE GROWTH (YoY %)</t>
  </si>
  <si>
    <t xml:space="preserve">Switchgears</t>
  </si>
  <si>
    <t xml:space="preserve">Cables</t>
  </si>
  <si>
    <t xml:space="preserve">Lighting &amp; Fixtures</t>
  </si>
  <si>
    <t xml:space="preserve">Electrical Consumer Durables</t>
  </si>
  <si>
    <t xml:space="preserve">Others (incl. solar)</t>
  </si>
  <si>
    <t xml:space="preserve">Lloyd Consumer</t>
  </si>
  <si>
    <t xml:space="preserve">Havells definition: Net Revenue less material cost, manufacturing variables, direct selling variables and depreciation.</t>
  </si>
  <si>
    <t xml:space="preserve">CONTRIBUTION MARGIN (% of segment revenue)</t>
  </si>
  <si>
    <t xml:space="preserve">OPERATING &amp; CASH FLOW DRIVERS</t>
  </si>
  <si>
    <t xml:space="preserve">Advertising &amp; sales promotion (% of net revenue)</t>
  </si>
  <si>
    <t xml:space="preserve">Other SG&amp;A (% of net revenue)</t>
  </si>
  <si>
    <t xml:space="preserve">Other income, net (INR cr)</t>
  </si>
  <si>
    <t xml:space="preserve">Effective tax rate</t>
  </si>
  <si>
    <t xml:space="preserve">Capital expenditure (% of net revenue)</t>
  </si>
  <si>
    <t xml:space="preserve">Depreciation &amp; amortisation (% of net revenue)</t>
  </si>
  <si>
    <t xml:space="preserve">Inventory days (on net revenue)</t>
  </si>
  <si>
    <t xml:space="preserve">Debtor days (on net revenue)</t>
  </si>
  <si>
    <t xml:space="preserve">Creditor days (on net revenue)</t>
  </si>
  <si>
    <t xml:space="preserve">Dividend payout (% of net profit)</t>
  </si>
  <si>
    <t xml:space="preserve">Lease liability interest rate</t>
  </si>
  <si>
    <t xml:space="preserve">Lease payments (INR cr)</t>
  </si>
  <si>
    <t xml:space="preserve">VALUATION STATICS</t>
  </si>
  <si>
    <t xml:space="preserve">Diluted shares outstanding (crore)</t>
  </si>
  <si>
    <t xml:space="preserve">Equity share capital INR 63cr at INR 1 face value. VERIFY against latest shareholding pattern.</t>
  </si>
  <si>
    <t xml:space="preserve">Current market price (INR / share)</t>
  </si>
  <si>
    <t xml:space="preserve">SOURCED 11-Sep-2026: market cap Rs 70,036 Cr / 62.7 Cr shares, bajajbroking.in intraday quote. Verify against a live quote before presenting -- Havells has moved several percent week to week this year.</t>
  </si>
  <si>
    <t xml:space="preserve">Terminal growth rate (g)</t>
  </si>
  <si>
    <t xml:space="preserve">Must be below WACC and below long-run nominal GDP growth.</t>
  </si>
  <si>
    <t xml:space="preserve">Non-core investments carried to equity bridge (INR cr)</t>
  </si>
  <si>
    <t xml:space="preserve">Goldi Solar stake: INR 600cr cost + INR 283cr unrealised fair value gain. Excluded from operating EBIT.</t>
  </si>
  <si>
    <t xml:space="preserve">Mid-year discounting convention (1 = on, 0 = off)</t>
  </si>
  <si>
    <t xml:space="preserve">Cash arrives through the year, not on 31 March.</t>
  </si>
  <si>
    <t xml:space="preserve">REPORTED HISTORICALS</t>
  </si>
  <si>
    <t xml:space="preserve">As reported. Do not link forecasts to this tab - it exists as an audit trail so a reader can tie the model back to the filing.</t>
  </si>
  <si>
    <t xml:space="preserve">Source: Havells India Ltd, Information Update on Financial Results, Q4 &amp; FY ended 31 Mar 2026, filed with NSE/BSE 22 Apr 2026. Standalone. INR crore.</t>
  </si>
  <si>
    <t xml:space="preserve">PROFIT &amp; LOSS</t>
  </si>
  <si>
    <t xml:space="preserve">Net revenue</t>
  </si>
  <si>
    <t xml:space="preserve">Contribution</t>
  </si>
  <si>
    <t xml:space="preserve">Add: depreciation / amortisation</t>
  </si>
  <si>
    <t xml:space="preserve">Less: advertising &amp; sales promotion</t>
  </si>
  <si>
    <t xml:space="preserve">Less: other SG&amp;A</t>
  </si>
  <si>
    <t xml:space="preserve">EBITDA</t>
  </si>
  <si>
    <t xml:space="preserve">Depreciation / amortisation</t>
  </si>
  <si>
    <t xml:space="preserve">Other income, net</t>
  </si>
  <si>
    <t xml:space="preserve">Fair value gain on financial asset (unrealised)</t>
  </si>
  <si>
    <t xml:space="preserve">Exceptional items</t>
  </si>
  <si>
    <t xml:space="preserve">Profit before tax</t>
  </si>
  <si>
    <t xml:space="preserve">Tax</t>
  </si>
  <si>
    <t xml:space="preserve">Net profit</t>
  </si>
  <si>
    <t xml:space="preserve">SEGMENT REVENUE</t>
  </si>
  <si>
    <t xml:space="preserve">Others</t>
  </si>
  <si>
    <t xml:space="preserve">BALANCE SHEET</t>
  </si>
  <si>
    <t xml:space="preserve">Property, plant &amp; equipment and intangibles</t>
  </si>
  <si>
    <t xml:space="preserve">Investments</t>
  </si>
  <si>
    <t xml:space="preserve">Other non-current assets</t>
  </si>
  <si>
    <t xml:space="preserve">Inventories</t>
  </si>
  <si>
    <t xml:space="preserve">Trade receivables</t>
  </si>
  <si>
    <t xml:space="preserve">Cash, equivalents and other bank balances</t>
  </si>
  <si>
    <t xml:space="preserve">Other financial assets</t>
  </si>
  <si>
    <t xml:space="preserve">Other current assets</t>
  </si>
  <si>
    <t xml:space="preserve">Total assets</t>
  </si>
  <si>
    <t xml:space="preserve">Equity share capital</t>
  </si>
  <si>
    <t xml:space="preserve">Other equity</t>
  </si>
  <si>
    <t xml:space="preserve">Lease liabilities - non-current</t>
  </si>
  <si>
    <t xml:space="preserve">Deferred tax liabilities, net</t>
  </si>
  <si>
    <t xml:space="preserve">Other non-current liabilities</t>
  </si>
  <si>
    <t xml:space="preserve">Lease liabilities - current</t>
  </si>
  <si>
    <t xml:space="preserve">Trade payables</t>
  </si>
  <si>
    <t xml:space="preserve">Other financial liabilities</t>
  </si>
  <si>
    <t xml:space="preserve">Other current liabilities</t>
  </si>
  <si>
    <t xml:space="preserve">Total equity and liabilities</t>
  </si>
  <si>
    <t xml:space="preserve">CASH FLOW</t>
  </si>
  <si>
    <t xml:space="preserve">Operating net cash flow</t>
  </si>
  <si>
    <t xml:space="preserve">Capital expenditure</t>
  </si>
  <si>
    <t xml:space="preserve">Dividends paid</t>
  </si>
  <si>
    <t xml:space="preserve">INCOME STATEMENT</t>
  </si>
  <si>
    <t xml:space="preserve">INR crore. Format mirrors the company's own investor-update P&amp;L so figures tie directly to the filing.</t>
  </si>
  <si>
    <t xml:space="preserve">Note: the FY26 unrealised fair value gain on the Goldi Solar stake (INR 283cr) and the INR 45cr exceptional item are deliberately EXCLUDED. Neither is operating income.</t>
  </si>
  <si>
    <t xml:space="preserve">REVENUE</t>
  </si>
  <si>
    <t xml:space="preserve">CONTRIBUTION</t>
  </si>
  <si>
    <t xml:space="preserve">Total contribution</t>
  </si>
  <si>
    <t xml:space="preserve">   as % of net revenue</t>
  </si>
  <si>
    <t xml:space="preserve">Add: depreciation &amp; amortisation</t>
  </si>
  <si>
    <t xml:space="preserve">   EBITDA margin</t>
  </si>
  <si>
    <t xml:space="preserve">Less: depreciation &amp; amortisation</t>
  </si>
  <si>
    <t xml:space="preserve">EBIT (clean, operating)</t>
  </si>
  <si>
    <t xml:space="preserve">   EBIT margin</t>
  </si>
  <si>
    <t xml:space="preserve">Add: other income, net</t>
  </si>
  <si>
    <t xml:space="preserve">Less: finance cost (lease interest)</t>
  </si>
  <si>
    <t xml:space="preserve">Less: tax</t>
  </si>
  <si>
    <t xml:space="preserve">NET PROFIT</t>
  </si>
  <si>
    <t xml:space="preserve">   net margin</t>
  </si>
  <si>
    <t xml:space="preserve">Memo: dividends declared</t>
  </si>
  <si>
    <t xml:space="preserve">Memo: retained earnings for the year</t>
  </si>
  <si>
    <t xml:space="preserve">SUPPORTING SCHEDULES</t>
  </si>
  <si>
    <t xml:space="preserve">Fixed assets, working capital and lease liabilities. Every balance-sheet movement originates here.</t>
  </si>
  <si>
    <t xml:space="preserve">FIXED ASSET (PP&amp;E AND INTANGIBLES) SCHEDULE</t>
  </si>
  <si>
    <t xml:space="preserve">Opening net block</t>
  </si>
  <si>
    <t xml:space="preserve">Add: capital expenditure</t>
  </si>
  <si>
    <t xml:space="preserve">Other movements (disposals, reclassification)</t>
  </si>
  <si>
    <t xml:space="preserve">Closing net block</t>
  </si>
  <si>
    <t xml:space="preserve">WORKING CAPITAL SCHEDULE</t>
  </si>
  <si>
    <t xml:space="preserve">Historical columns are the reported balances, so the FY27 movement ties exactly to the FY26 balance sheet. Forecast columns are driven by the days assumptions.</t>
  </si>
  <si>
    <t xml:space="preserve">Net working capital</t>
  </si>
  <si>
    <t xml:space="preserve">Increase / (decrease) in net working capital</t>
  </si>
  <si>
    <t xml:space="preserve">   NWC days on net revenue</t>
  </si>
  <si>
    <t xml:space="preserve">LEASE LIABILITY SCHEDULE</t>
  </si>
  <si>
    <t xml:space="preserve">Havells carries no borrowings. The only debt-like liability on the balance sheet is Ind AS 116 lease liabilities.</t>
  </si>
  <si>
    <t xml:space="preserve">SIMPLIFYING ASSUMPTION: principal is held flat, i.e. new leases recognised each year are assumed to offset amortisation of existing ones. Cash lease payments therefore equal interest accretion. At INR 265cr against a market capitalisation near INR 75,000cr this is immaterial, but state it in your memo rather than letting a reader discover it.</t>
  </si>
  <si>
    <t xml:space="preserve">Opening lease liability</t>
  </si>
  <si>
    <t xml:space="preserve">Add: interest accretion (to income statement)</t>
  </si>
  <si>
    <t xml:space="preserve">Less: lease payments (cash)</t>
  </si>
  <si>
    <t xml:space="preserve">Closing lease liability</t>
  </si>
  <si>
    <t xml:space="preserve">Memo: finance cost to income statement</t>
  </si>
  <si>
    <t xml:space="preserve">   split: non-current (70%)</t>
  </si>
  <si>
    <t xml:space="preserve">   split: current (30%)</t>
  </si>
  <si>
    <t xml:space="preserve">CASH FLOW STATEMENT</t>
  </si>
  <si>
    <t xml:space="preserve">Indirect method. Forecast years only - the historical cash flow is on the Historicals tab.</t>
  </si>
  <si>
    <t xml:space="preserve">OPERATING ACTIVITIES</t>
  </si>
  <si>
    <t xml:space="preserve">Add back: depreciation &amp; amortisation</t>
  </si>
  <si>
    <t xml:space="preserve">Less: increase in net working capital</t>
  </si>
  <si>
    <t xml:space="preserve">Cash flow from operations</t>
  </si>
  <si>
    <t xml:space="preserve">INVESTING ACTIVITIES</t>
  </si>
  <si>
    <t xml:space="preserve">Other movements in fixed assets</t>
  </si>
  <si>
    <t xml:space="preserve">Cash flow from investing</t>
  </si>
  <si>
    <t xml:space="preserve">FINANCING ACTIVITIES</t>
  </si>
  <si>
    <t xml:space="preserve">Cash flow from financing</t>
  </si>
  <si>
    <t xml:space="preserve">Net increase / (decrease) in cash</t>
  </si>
  <si>
    <t xml:space="preserve">Opening cash and bank balances</t>
  </si>
  <si>
    <t xml:space="preserve">Closing cash and bank balances</t>
  </si>
  <si>
    <t xml:space="preserve">The 'Check' row must read zero in every column. A non-zero check means the model is broken.</t>
  </si>
  <si>
    <t xml:space="preserve">ASSETS</t>
  </si>
  <si>
    <t xml:space="preserve">TOTAL ASSETS</t>
  </si>
  <si>
    <t xml:space="preserve">EQUITY AND LIABILITIES</t>
  </si>
  <si>
    <t xml:space="preserve">TOTAL EQUITY AND LIABILITIES</t>
  </si>
  <si>
    <t xml:space="preserve">CHECK (must be zero)</t>
  </si>
  <si>
    <t xml:space="preserve">The FY25A column reads 1 rather than 0. This is the company's own rounding in the abridged balance sheet it filed, not a model error - the reported totals do not sum exactly. Every forecast column reads zero.</t>
  </si>
  <si>
    <t xml:space="preserve">WEIGHTED AVERAGE COST OF CAPITAL</t>
  </si>
  <si>
    <t xml:space="preserve">Havells carries no borrowings. WACC is therefore close to pure cost of equity. Replace every yellow cell with a figure you pulled yourself, and record the date.</t>
  </si>
  <si>
    <t xml:space="preserve">COST OF EQUITY (CAPM)</t>
  </si>
  <si>
    <t xml:space="preserve">Risk-free rate (10-year India G-Sec yield)</t>
  </si>
  <si>
    <t xml:space="preserve">SOURCED 11-Sep-2026: India 10Y G-Sec yield, indiamacroindicators.co.in (RBI-referenced benchmark). Update if presenting on a later date.</t>
  </si>
  <si>
    <t xml:space="preserve">Levered beta</t>
  </si>
  <si>
    <t xml:space="preserve">SOURCED: Equentis stock-screener beta estimate (0.90, describes Havells as "volatility broadly in line with the market"), pulled Sep 2026. Cross-check: scripts/beta_regression.py was not run against a live downloaded price series for this figure -- treat as a third-party estimate, not a self-run regression, and re-run the regression script before final submission if time allows.</t>
  </si>
  <si>
    <t xml:space="preserve">Equity risk premium (India)</t>
  </si>
  <si>
    <t xml:space="preserve">SOURCED: Damodaran country equity risk premium table, July 2026 update -- India total ERP (mature-market ERP of 4.17% plus India country risk premium), reported via secondary coverage of the workbook. Verify against the primary source at pages.stern.nyu.edu/~adamodar before final submission.</t>
  </si>
  <si>
    <t xml:space="preserve">Cost of equity  =  Rf + beta x ERP</t>
  </si>
  <si>
    <t xml:space="preserve">COST OF DEBT</t>
  </si>
  <si>
    <t xml:space="preserve">Pre-tax cost of debt</t>
  </si>
  <si>
    <t xml:space="preserve">Implied lease discount rate. Havells has no borrowings, so this is a notional figure.</t>
  </si>
  <si>
    <t xml:space="preserve">Marginal tax rate</t>
  </si>
  <si>
    <t xml:space="preserve">Indian statutory rate under the concessional regime.</t>
  </si>
  <si>
    <t xml:space="preserve">After-tax cost of debt</t>
  </si>
  <si>
    <t xml:space="preserve">CAPITAL STRUCTURE</t>
  </si>
  <si>
    <t xml:space="preserve">Market value of equity (INR cr)</t>
  </si>
  <si>
    <t xml:space="preserve">Shares x price, both from Assumptions.</t>
  </si>
  <si>
    <t xml:space="preserve">Debt: lease liabilities (INR cr)</t>
  </si>
  <si>
    <t xml:space="preserve">The only debt-like item on the balance sheet.</t>
  </si>
  <si>
    <t xml:space="preserve">Total capital (INR cr)</t>
  </si>
  <si>
    <t xml:space="preserve">Weight of equity</t>
  </si>
  <si>
    <t xml:space="preserve">Weight of debt</t>
  </si>
  <si>
    <t xml:space="preserve">WACC</t>
  </si>
  <si>
    <t xml:space="preserve">With a debt weight this small, WACC is effectively cost of equity. Say so explicitly in your memo rather than fabricating leverage.</t>
  </si>
  <si>
    <t xml:space="preserve">DISCOUNTED CASH FLOW - FREE CASH FLOW TO FIRM</t>
  </si>
  <si>
    <t xml:space="preserve">FCFF = EBIT x (1 - tax rate) + D&amp;A - capex - increase in net working capital.</t>
  </si>
  <si>
    <t xml:space="preserve">EBIT here is CLEAN OPERATING EBIT: it excludes other income, the Goldi Solar fair value gain and exceptional items. Those are handled in the equity bridge instead.</t>
  </si>
  <si>
    <t xml:space="preserve">NOPAT = EBIT x (1 - t)</t>
  </si>
  <si>
    <t xml:space="preserve">Less: capital expenditure</t>
  </si>
  <si>
    <t xml:space="preserve">FREE CASH FLOW TO FIRM</t>
  </si>
  <si>
    <t xml:space="preserve">Discount period (mid-year convention)</t>
  </si>
  <si>
    <t xml:space="preserve">Discount factor</t>
  </si>
  <si>
    <t xml:space="preserve">Present value of FCFF</t>
  </si>
  <si>
    <t xml:space="preserve">VALUATION BRIDGE</t>
  </si>
  <si>
    <t xml:space="preserve">Sum of PV of explicit forecast FCFF</t>
  </si>
  <si>
    <t xml:space="preserve">Terminal value (Gordon growth)</t>
  </si>
  <si>
    <t xml:space="preserve">TV = final-year FCFF x (1+g) / (WACC - g)</t>
  </si>
  <si>
    <t xml:space="preserve">PV of terminal value</t>
  </si>
  <si>
    <t xml:space="preserve">ENTERPRISE VALUE</t>
  </si>
  <si>
    <t xml:space="preserve">   terminal value as % of enterprise value</t>
  </si>
  <si>
    <t xml:space="preserve">If this is above 75%, say so openly in your memo. It is the standard criticism of any DCF.</t>
  </si>
  <si>
    <t xml:space="preserve">Add: cash, equivalents and bank balances</t>
  </si>
  <si>
    <t xml:space="preserve">FY26 closing balance.</t>
  </si>
  <si>
    <t xml:space="preserve">Less: lease liabilities (debt-like)</t>
  </si>
  <si>
    <t xml:space="preserve">Add: non-core investments</t>
  </si>
  <si>
    <t xml:space="preserve">Goldi Solar stake at carrying value, since its earnings were excluded from EBIT.</t>
  </si>
  <si>
    <t xml:space="preserve">EQUITY VALUE</t>
  </si>
  <si>
    <t xml:space="preserve">INTRINSIC VALUE PER SHARE (INR)</t>
  </si>
  <si>
    <t xml:space="preserve">Current market price (INR)</t>
  </si>
  <si>
    <t xml:space="preserve">Implied upside / (downside)</t>
  </si>
  <si>
    <t xml:space="preserve">If this is wildly positive, re-examine your assumptions before you conclude the market is wrong.</t>
  </si>
  <si>
    <t xml:space="preserve">SENSITIVITY ANALYSIS</t>
  </si>
  <si>
    <t xml:space="preserve">Intrinsic value per share (INR). Each cell fully re-discounts the explicit forecast and rebuilds terminal value at the stated WACC and g.</t>
  </si>
  <si>
    <t xml:space="preserve">WACC (columns) vs terminal growth g (rows)</t>
  </si>
  <si>
    <t xml:space="preserve">g  \  WACC</t>
  </si>
  <si>
    <t xml:space="preserve">Current market price</t>
  </si>
  <si>
    <t xml:space="preserve">Base case intrinsic value</t>
  </si>
  <si>
    <t xml:space="preserve">REVERSE DCF</t>
  </si>
  <si>
    <t xml:space="preserve">Hold WACC and g fixed, then use Excel's Goal Seek (Data &gt; What-If Analysis &gt; Goal Seek) to solve for the segment growth or contribution margin</t>
  </si>
  <si>
    <t xml:space="preserve">assumptions that make DCF!B34 equal the current market price. Then write one paragraph on whether those implied assumptions are achievable.</t>
  </si>
  <si>
    <t xml:space="preserve">This is the most defensible thing in the whole model. A DCF that disagrees with the market is only interesting once you can say WHAT the market is assuming.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</si>
</sst>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;\(#,##0\);\-"/>
    <numFmt numFmtId="167" formatCode="#,##0.0;\(#,##0.0\);\-"/>
    <numFmt numFmtId="168" formatCode="#,##0.0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8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15" hidden="false" customHeight="true" outlineLevel="0" collapsed="false">
      <c r="A9" s="4" t="s">
        <v>12</v>
      </c>
      <c r="B9" s="5" t="s">
        <v>13</v>
      </c>
    </row>
    <row r="10" customFormat="false" ht="15" hidden="false" customHeight="true" outlineLevel="0" collapsed="false">
      <c r="A10" s="4" t="s">
        <v>14</v>
      </c>
      <c r="B10" s="5" t="s">
        <v>15</v>
      </c>
    </row>
    <row r="12" customFormat="false" ht="15" hidden="false" customHeight="true" outlineLevel="0" collapsed="false">
      <c r="A12" s="4" t="s">
        <v>16</v>
      </c>
      <c r="B12" s="5" t="s">
        <v>17</v>
      </c>
    </row>
    <row r="13" customFormat="false" ht="15" hidden="false" customHeight="true" outlineLevel="0" collapsed="false">
      <c r="A13" s="4" t="s">
        <v>18</v>
      </c>
      <c r="B13" s="5" t="s">
        <v>19</v>
      </c>
    </row>
    <row r="15" customFormat="false" ht="30" hidden="false" customHeight="true" outlineLevel="0" collapsed="false">
      <c r="A15" s="4" t="s">
        <v>20</v>
      </c>
      <c r="B15" s="5" t="s">
        <v>21</v>
      </c>
    </row>
    <row r="16" customFormat="false" ht="30" hidden="false" customHeight="true" outlineLevel="0" collapsed="false">
      <c r="A16" s="4" t="s">
        <v>22</v>
      </c>
      <c r="B16" s="5" t="s">
        <v>23</v>
      </c>
    </row>
    <row r="18" customFormat="false" ht="30" hidden="false" customHeight="true" outlineLevel="0" collapsed="false">
      <c r="A18" s="4" t="s">
        <v>24</v>
      </c>
      <c r="B18" s="5" t="s">
        <v>25</v>
      </c>
    </row>
    <row r="20" customFormat="false" ht="30" hidden="false" customHeight="true" outlineLevel="0" collapsed="false">
      <c r="A20" s="4" t="s">
        <v>26</v>
      </c>
      <c r="B20" s="5" t="s">
        <v>27</v>
      </c>
    </row>
    <row r="24" customFormat="false" ht="15.75" hidden="false" customHeight="true" outlineLevel="0" collapsed="false">
      <c r="A24" s="2" t="s">
        <v>28</v>
      </c>
    </row>
    <row r="25" customFormat="false" ht="15" hidden="false" customHeight="true" outlineLevel="0" collapsed="false">
      <c r="A25" s="6" t="s">
        <v>29</v>
      </c>
    </row>
    <row r="26" customFormat="false" ht="15" hidden="false" customHeight="true" outlineLevel="0" collapsed="false">
      <c r="A26" s="6" t="s">
        <v>30</v>
      </c>
    </row>
    <row r="27" customFormat="false" ht="15" hidden="false" customHeight="true" outlineLevel="0" collapsed="false">
      <c r="A27" s="6" t="s">
        <v>31</v>
      </c>
    </row>
    <row r="28" customFormat="false" ht="15" hidden="false" customHeight="true" outlineLevel="0" collapsed="false">
      <c r="A28" s="6" t="s">
        <v>32</v>
      </c>
    </row>
    <row r="29" customFormat="false" ht="15" hidden="false" customHeight="true" outlineLevel="0" collapsed="false">
      <c r="A29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3" min="2" style="1" width="13"/>
  </cols>
  <sheetData>
    <row r="1" customFormat="false" ht="15.75" hidden="false" customHeight="true" outlineLevel="0" collapsed="false">
      <c r="A1" s="2" t="s">
        <v>34</v>
      </c>
    </row>
    <row r="2" customFormat="false" ht="15" hidden="false" customHeight="true" outlineLevel="0" collapsed="false">
      <c r="A2" s="3" t="s">
        <v>35</v>
      </c>
    </row>
    <row r="4" customFormat="false" ht="15" hidden="false" customHeight="true" outlineLevel="0" collapsed="false">
      <c r="A4" s="7" t="s">
        <v>36</v>
      </c>
      <c r="B4" s="8" t="s">
        <v>37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</row>
    <row r="6" customFormat="false" ht="15" hidden="false" customHeight="true" outlineLevel="0" collapsed="false">
      <c r="A6" s="9" t="s">
        <v>44</v>
      </c>
    </row>
    <row r="7" customFormat="false" ht="15" hidden="false" customHeight="true" outlineLevel="0" collapsed="false">
      <c r="A7" s="10" t="s">
        <v>45</v>
      </c>
      <c r="C7" s="11" t="n">
        <f aca="false">IF(IS!C9=0,0,IS!D9/IS!C9-1)</f>
        <v>0.0900000000000001</v>
      </c>
      <c r="D7" s="12" t="n">
        <v>0.09</v>
      </c>
      <c r="E7" s="12" t="n">
        <v>0.09</v>
      </c>
      <c r="F7" s="12" t="n">
        <v>0.09</v>
      </c>
      <c r="G7" s="12" t="n">
        <v>0.08</v>
      </c>
      <c r="H7" s="12" t="n">
        <v>0.08</v>
      </c>
    </row>
    <row r="8" customFormat="false" ht="15" hidden="false" customHeight="true" outlineLevel="0" collapsed="false">
      <c r="A8" s="10" t="s">
        <v>46</v>
      </c>
      <c r="C8" s="11" t="n">
        <f aca="false">IF(IS!C10=0,0,IS!D10/IS!C10-1)</f>
        <v>0.14</v>
      </c>
      <c r="D8" s="12" t="n">
        <v>0.14</v>
      </c>
      <c r="E8" s="12" t="n">
        <v>0.13</v>
      </c>
      <c r="F8" s="12" t="n">
        <v>0.12</v>
      </c>
      <c r="G8" s="12" t="n">
        <v>0.11</v>
      </c>
      <c r="H8" s="12" t="n">
        <v>0.1</v>
      </c>
    </row>
    <row r="9" customFormat="false" ht="15" hidden="false" customHeight="true" outlineLevel="0" collapsed="false">
      <c r="A9" s="10" t="s">
        <v>47</v>
      </c>
      <c r="C9" s="11" t="n">
        <f aca="false">IF(IS!C11=0,0,IS!D11/IS!C11-1)</f>
        <v>0.03</v>
      </c>
      <c r="D9" s="12" t="n">
        <v>0.03</v>
      </c>
      <c r="E9" s="12" t="n">
        <v>0.04</v>
      </c>
      <c r="F9" s="12" t="n">
        <v>0.04</v>
      </c>
      <c r="G9" s="12" t="n">
        <v>0.04</v>
      </c>
      <c r="H9" s="12" t="n">
        <v>0.04</v>
      </c>
    </row>
    <row r="10" customFormat="false" ht="15" hidden="false" customHeight="true" outlineLevel="0" collapsed="false">
      <c r="A10" s="10" t="s">
        <v>48</v>
      </c>
      <c r="C10" s="11" t="n">
        <f aca="false">IF(IS!C12=0,0,IS!D12/IS!C12-1)</f>
        <v>0.0800000000000001</v>
      </c>
      <c r="D10" s="12" t="n">
        <v>0.08</v>
      </c>
      <c r="E10" s="12" t="n">
        <v>0.09</v>
      </c>
      <c r="F10" s="12" t="n">
        <v>0.09</v>
      </c>
      <c r="G10" s="12" t="n">
        <v>0.08</v>
      </c>
      <c r="H10" s="12" t="n">
        <v>0.08</v>
      </c>
    </row>
    <row r="11" customFormat="false" ht="15" hidden="false" customHeight="true" outlineLevel="0" collapsed="false">
      <c r="A11" s="10" t="s">
        <v>49</v>
      </c>
      <c r="C11" s="11" t="n">
        <f aca="false">IF(IS!C13=0,0,IS!D13/IS!C13-1)</f>
        <v>0.22</v>
      </c>
      <c r="D11" s="12" t="n">
        <v>0.22</v>
      </c>
      <c r="E11" s="12" t="n">
        <v>0.2</v>
      </c>
      <c r="F11" s="12" t="n">
        <v>0.18</v>
      </c>
      <c r="G11" s="12" t="n">
        <v>0.15</v>
      </c>
      <c r="H11" s="12" t="n">
        <v>0.12</v>
      </c>
    </row>
    <row r="12" customFormat="false" ht="15" hidden="false" customHeight="true" outlineLevel="0" collapsed="false">
      <c r="A12" s="10" t="s">
        <v>50</v>
      </c>
      <c r="C12" s="11" t="n">
        <f aca="false">IF(IS!C14=0,0,IS!D14/IS!C14-1)</f>
        <v>0.12</v>
      </c>
      <c r="D12" s="12" t="n">
        <v>0.12</v>
      </c>
      <c r="E12" s="12" t="n">
        <v>0.14</v>
      </c>
      <c r="F12" s="12" t="n">
        <v>0.12</v>
      </c>
      <c r="G12" s="12" t="n">
        <v>0.1</v>
      </c>
      <c r="H12" s="12" t="n">
        <v>0.09</v>
      </c>
    </row>
    <row r="13" customFormat="false" ht="15" hidden="false" customHeight="true" outlineLevel="0" collapsed="false">
      <c r="A13" s="3" t="s">
        <v>51</v>
      </c>
    </row>
    <row r="14" customFormat="false" ht="15" hidden="false" customHeight="true" outlineLevel="0" collapsed="false">
      <c r="A14" s="9" t="s">
        <v>52</v>
      </c>
    </row>
    <row r="15" customFormat="false" ht="15" hidden="false" customHeight="true" outlineLevel="0" collapsed="false">
      <c r="A15" s="10" t="s">
        <v>45</v>
      </c>
      <c r="B15" s="13" t="n">
        <v>0.379</v>
      </c>
      <c r="C15" s="13" t="n">
        <v>0.369</v>
      </c>
      <c r="D15" s="12" t="n">
        <v>0.372</v>
      </c>
      <c r="E15" s="12" t="n">
        <v>0.375</v>
      </c>
      <c r="F15" s="12" t="n">
        <v>0.375</v>
      </c>
      <c r="G15" s="12" t="n">
        <v>0.375</v>
      </c>
      <c r="H15" s="12" t="n">
        <v>0.375</v>
      </c>
    </row>
    <row r="16" customFormat="false" ht="15" hidden="false" customHeight="true" outlineLevel="0" collapsed="false">
      <c r="A16" s="10" t="s">
        <v>46</v>
      </c>
      <c r="B16" s="13" t="n">
        <v>0.141</v>
      </c>
      <c r="C16" s="13" t="n">
        <v>0.169</v>
      </c>
      <c r="D16" s="12" t="n">
        <v>0.165</v>
      </c>
      <c r="E16" s="12" t="n">
        <v>0.163</v>
      </c>
      <c r="F16" s="12" t="n">
        <v>0.162</v>
      </c>
      <c r="G16" s="12" t="n">
        <v>0.16</v>
      </c>
      <c r="H16" s="12" t="n">
        <v>0.16</v>
      </c>
    </row>
    <row r="17" customFormat="false" ht="15" hidden="false" customHeight="true" outlineLevel="0" collapsed="false">
      <c r="A17" s="10" t="s">
        <v>47</v>
      </c>
      <c r="B17" s="13" t="n">
        <v>0.326</v>
      </c>
      <c r="C17" s="13" t="n">
        <v>0.323</v>
      </c>
      <c r="D17" s="12" t="n">
        <v>0.31</v>
      </c>
      <c r="E17" s="12" t="n">
        <v>0.31</v>
      </c>
      <c r="F17" s="12" t="n">
        <v>0.31</v>
      </c>
      <c r="G17" s="12" t="n">
        <v>0.31</v>
      </c>
      <c r="H17" s="12" t="n">
        <v>0.31</v>
      </c>
    </row>
    <row r="18" customFormat="false" ht="15" hidden="false" customHeight="true" outlineLevel="0" collapsed="false">
      <c r="A18" s="10" t="s">
        <v>48</v>
      </c>
      <c r="B18" s="13" t="n">
        <v>0.238</v>
      </c>
      <c r="C18" s="13" t="n">
        <v>0.23</v>
      </c>
      <c r="D18" s="12" t="n">
        <v>0.233</v>
      </c>
      <c r="E18" s="12" t="n">
        <v>0.235</v>
      </c>
      <c r="F18" s="12" t="n">
        <v>0.235</v>
      </c>
      <c r="G18" s="12" t="n">
        <v>0.235</v>
      </c>
      <c r="H18" s="12" t="n">
        <v>0.235</v>
      </c>
    </row>
    <row r="19" customFormat="false" ht="15" hidden="false" customHeight="true" outlineLevel="0" collapsed="false">
      <c r="A19" s="10" t="s">
        <v>49</v>
      </c>
      <c r="B19" s="13" t="n">
        <v>0.17</v>
      </c>
      <c r="C19" s="13" t="n">
        <v>0.162</v>
      </c>
      <c r="D19" s="12" t="n">
        <v>0.165</v>
      </c>
      <c r="E19" s="12" t="n">
        <v>0.168</v>
      </c>
      <c r="F19" s="12" t="n">
        <v>0.17</v>
      </c>
      <c r="G19" s="12" t="n">
        <v>0.17</v>
      </c>
      <c r="H19" s="12" t="n">
        <v>0.17</v>
      </c>
    </row>
    <row r="20" customFormat="false" ht="15" hidden="false" customHeight="true" outlineLevel="0" collapsed="false">
      <c r="A20" s="10" t="s">
        <v>50</v>
      </c>
      <c r="B20" s="13" t="n">
        <v>0.135</v>
      </c>
      <c r="C20" s="13" t="n">
        <v>0.084</v>
      </c>
      <c r="D20" s="12" t="n">
        <v>0.1</v>
      </c>
      <c r="E20" s="12" t="n">
        <v>0.115</v>
      </c>
      <c r="F20" s="12" t="n">
        <v>0.125</v>
      </c>
      <c r="G20" s="12" t="n">
        <v>0.13</v>
      </c>
      <c r="H20" s="12" t="n">
        <v>0.13</v>
      </c>
    </row>
    <row r="22" customFormat="false" ht="15" hidden="false" customHeight="true" outlineLevel="0" collapsed="false">
      <c r="A22" s="9" t="s">
        <v>53</v>
      </c>
    </row>
    <row r="23" customFormat="false" ht="15" hidden="false" customHeight="true" outlineLevel="0" collapsed="false">
      <c r="A23" s="10" t="s">
        <v>54</v>
      </c>
      <c r="B23" s="13" t="n">
        <v>0.029</v>
      </c>
      <c r="C23" s="13" t="n">
        <v>0.027</v>
      </c>
      <c r="D23" s="12" t="n">
        <v>0.028</v>
      </c>
      <c r="E23" s="12" t="n">
        <v>0.028</v>
      </c>
      <c r="F23" s="12" t="n">
        <v>0.028</v>
      </c>
      <c r="G23" s="12" t="n">
        <v>0.028</v>
      </c>
      <c r="H23" s="12" t="n">
        <v>0.028</v>
      </c>
    </row>
    <row r="24" customFormat="false" ht="15" hidden="false" customHeight="true" outlineLevel="0" collapsed="false">
      <c r="A24" s="10" t="s">
        <v>55</v>
      </c>
      <c r="B24" s="13" t="n">
        <v>0.091</v>
      </c>
      <c r="C24" s="13" t="n">
        <v>0.092</v>
      </c>
      <c r="D24" s="12" t="n">
        <v>0.09</v>
      </c>
      <c r="E24" s="12" t="n">
        <v>0.09</v>
      </c>
      <c r="F24" s="12" t="n">
        <v>0.09</v>
      </c>
      <c r="G24" s="12" t="n">
        <v>0.09</v>
      </c>
      <c r="H24" s="12" t="n">
        <v>0.09</v>
      </c>
    </row>
    <row r="25" customFormat="false" ht="15" hidden="false" customHeight="true" outlineLevel="0" collapsed="false">
      <c r="A25" s="10" t="s">
        <v>56</v>
      </c>
      <c r="B25" s="14" t="n">
        <v>259</v>
      </c>
      <c r="C25" s="14" t="n">
        <v>204</v>
      </c>
      <c r="D25" s="15" t="n">
        <v>220</v>
      </c>
      <c r="E25" s="15" t="n">
        <v>240</v>
      </c>
      <c r="F25" s="15" t="n">
        <v>260</v>
      </c>
      <c r="G25" s="15" t="n">
        <v>280</v>
      </c>
      <c r="H25" s="15" t="n">
        <v>300</v>
      </c>
    </row>
    <row r="26" customFormat="false" ht="15" hidden="false" customHeight="true" outlineLevel="0" collapsed="false">
      <c r="A26" s="10" t="s">
        <v>57</v>
      </c>
      <c r="B26" s="13" t="n">
        <v>0.259</v>
      </c>
      <c r="C26" s="13" t="n">
        <v>0.234</v>
      </c>
      <c r="D26" s="12" t="n">
        <v>0.252</v>
      </c>
      <c r="E26" s="12" t="n">
        <v>0.252</v>
      </c>
      <c r="F26" s="12" t="n">
        <v>0.252</v>
      </c>
      <c r="G26" s="12" t="n">
        <v>0.252</v>
      </c>
      <c r="H26" s="12" t="n">
        <v>0.252</v>
      </c>
    </row>
    <row r="27" customFormat="false" ht="15" hidden="false" customHeight="true" outlineLevel="0" collapsed="false">
      <c r="A27" s="10" t="s">
        <v>58</v>
      </c>
      <c r="B27" s="13" t="n">
        <v>0.035</v>
      </c>
      <c r="C27" s="13" t="n">
        <v>0.066</v>
      </c>
      <c r="D27" s="12" t="n">
        <v>0.05</v>
      </c>
      <c r="E27" s="12" t="n">
        <v>0.045</v>
      </c>
      <c r="F27" s="12" t="n">
        <v>0.04</v>
      </c>
      <c r="G27" s="12" t="n">
        <v>0.038</v>
      </c>
      <c r="H27" s="12" t="n">
        <v>0.035</v>
      </c>
    </row>
    <row r="28" customFormat="false" ht="15" hidden="false" customHeight="true" outlineLevel="0" collapsed="false">
      <c r="A28" s="10" t="s">
        <v>59</v>
      </c>
      <c r="B28" s="13" t="n">
        <v>0.018</v>
      </c>
      <c r="C28" s="13" t="n">
        <v>0.019</v>
      </c>
      <c r="D28" s="12" t="n">
        <v>0.02</v>
      </c>
      <c r="E28" s="12" t="n">
        <v>0.021</v>
      </c>
      <c r="F28" s="12" t="n">
        <v>0.022</v>
      </c>
      <c r="G28" s="12" t="n">
        <v>0.022</v>
      </c>
      <c r="H28" s="12" t="n">
        <v>0.023</v>
      </c>
    </row>
    <row r="29" customFormat="false" ht="15" hidden="false" customHeight="true" outlineLevel="0" collapsed="false">
      <c r="A29" s="10" t="s">
        <v>60</v>
      </c>
      <c r="B29" s="14" t="n">
        <v>67</v>
      </c>
      <c r="C29" s="14" t="n">
        <v>71</v>
      </c>
      <c r="D29" s="15" t="n">
        <v>71</v>
      </c>
      <c r="E29" s="15" t="n">
        <v>71</v>
      </c>
      <c r="F29" s="15" t="n">
        <v>71</v>
      </c>
      <c r="G29" s="15" t="n">
        <v>71</v>
      </c>
      <c r="H29" s="15" t="n">
        <v>71</v>
      </c>
    </row>
    <row r="30" customFormat="false" ht="15" hidden="false" customHeight="true" outlineLevel="0" collapsed="false">
      <c r="A30" s="10" t="s">
        <v>61</v>
      </c>
      <c r="B30" s="14" t="n">
        <v>21</v>
      </c>
      <c r="C30" s="14" t="n">
        <v>13</v>
      </c>
      <c r="D30" s="15" t="n">
        <v>15</v>
      </c>
      <c r="E30" s="15" t="n">
        <v>15</v>
      </c>
      <c r="F30" s="15" t="n">
        <v>15</v>
      </c>
      <c r="G30" s="15" t="n">
        <v>15</v>
      </c>
      <c r="H30" s="15" t="n">
        <v>15</v>
      </c>
    </row>
    <row r="31" customFormat="false" ht="15" hidden="false" customHeight="true" outlineLevel="0" collapsed="false">
      <c r="A31" s="10" t="s">
        <v>62</v>
      </c>
      <c r="B31" s="14" t="n">
        <v>51</v>
      </c>
      <c r="C31" s="14" t="n">
        <v>47</v>
      </c>
      <c r="D31" s="15" t="n">
        <v>47</v>
      </c>
      <c r="E31" s="15" t="n">
        <v>47</v>
      </c>
      <c r="F31" s="15" t="n">
        <v>47</v>
      </c>
      <c r="G31" s="15" t="n">
        <v>47</v>
      </c>
      <c r="H31" s="15" t="n">
        <v>47</v>
      </c>
    </row>
    <row r="32" customFormat="false" ht="15" hidden="false" customHeight="true" outlineLevel="0" collapsed="false">
      <c r="A32" s="10" t="s">
        <v>63</v>
      </c>
      <c r="B32" s="13" t="n">
        <v>0.421</v>
      </c>
      <c r="C32" s="13" t="n">
        <v>0.368</v>
      </c>
      <c r="D32" s="12" t="n">
        <v>0.37</v>
      </c>
      <c r="E32" s="12" t="n">
        <v>0.37</v>
      </c>
      <c r="F32" s="12" t="n">
        <v>0.37</v>
      </c>
      <c r="G32" s="12" t="n">
        <v>0.37</v>
      </c>
      <c r="H32" s="12" t="n">
        <v>0.37</v>
      </c>
    </row>
    <row r="33" customFormat="false" ht="15" hidden="false" customHeight="true" outlineLevel="0" collapsed="false">
      <c r="A33" s="10" t="s">
        <v>64</v>
      </c>
      <c r="B33" s="13" t="n">
        <v>0.08</v>
      </c>
      <c r="C33" s="13" t="n">
        <v>0.08</v>
      </c>
      <c r="D33" s="12" t="n">
        <v>0.08</v>
      </c>
      <c r="E33" s="12" t="n">
        <v>0.08</v>
      </c>
      <c r="F33" s="12" t="n">
        <v>0.08</v>
      </c>
      <c r="G33" s="12" t="n">
        <v>0.08</v>
      </c>
      <c r="H33" s="12" t="n">
        <v>0.08</v>
      </c>
    </row>
    <row r="34" customFormat="false" ht="15" hidden="false" customHeight="true" outlineLevel="0" collapsed="false">
      <c r="A34" s="10" t="s">
        <v>65</v>
      </c>
      <c r="B34" s="14" t="n">
        <v>90</v>
      </c>
      <c r="C34" s="14" t="n">
        <v>90</v>
      </c>
      <c r="D34" s="15" t="n">
        <v>95</v>
      </c>
      <c r="E34" s="15" t="n">
        <v>100</v>
      </c>
      <c r="F34" s="15" t="n">
        <v>105</v>
      </c>
      <c r="G34" s="15" t="n">
        <v>110</v>
      </c>
      <c r="H34" s="15" t="n">
        <v>115</v>
      </c>
    </row>
    <row r="36" customFormat="false" ht="15" hidden="false" customHeight="true" outlineLevel="0" collapsed="false">
      <c r="A36" s="9" t="s">
        <v>66</v>
      </c>
    </row>
    <row r="37" customFormat="false" ht="15" hidden="false" customHeight="true" outlineLevel="0" collapsed="false">
      <c r="A37" s="10" t="s">
        <v>67</v>
      </c>
      <c r="B37" s="16" t="n">
        <v>62.7</v>
      </c>
      <c r="D37" s="3" t="s">
        <v>68</v>
      </c>
    </row>
    <row r="38" customFormat="false" ht="15" hidden="false" customHeight="true" outlineLevel="0" collapsed="false">
      <c r="A38" s="10" t="s">
        <v>69</v>
      </c>
      <c r="B38" s="17" t="n">
        <v>1117</v>
      </c>
      <c r="D38" s="3" t="s">
        <v>70</v>
      </c>
    </row>
    <row r="39" customFormat="false" ht="15" hidden="false" customHeight="true" outlineLevel="0" collapsed="false">
      <c r="A39" s="10" t="s">
        <v>71</v>
      </c>
      <c r="B39" s="12" t="n">
        <v>0.05</v>
      </c>
      <c r="D39" s="3" t="s">
        <v>72</v>
      </c>
    </row>
    <row r="40" customFormat="false" ht="15" hidden="false" customHeight="true" outlineLevel="0" collapsed="false">
      <c r="A40" s="10" t="s">
        <v>73</v>
      </c>
      <c r="B40" s="15" t="n">
        <v>883</v>
      </c>
      <c r="D40" s="3" t="s">
        <v>74</v>
      </c>
    </row>
    <row r="41" customFormat="false" ht="15" hidden="false" customHeight="true" outlineLevel="0" collapsed="false">
      <c r="A41" s="10" t="s">
        <v>75</v>
      </c>
      <c r="B41" s="15" t="n">
        <v>1</v>
      </c>
      <c r="D41" s="3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3" min="2" style="1" width="15"/>
  </cols>
  <sheetData>
    <row r="1" customFormat="false" ht="15.75" hidden="false" customHeight="true" outlineLevel="0" collapsed="false">
      <c r="A1" s="2" t="s">
        <v>77</v>
      </c>
    </row>
    <row r="2" customFormat="false" ht="15" hidden="false" customHeight="true" outlineLevel="0" collapsed="false">
      <c r="A2" s="3" t="s">
        <v>78</v>
      </c>
    </row>
    <row r="3" customFormat="false" ht="15" hidden="false" customHeight="true" outlineLevel="0" collapsed="false">
      <c r="A3" s="3" t="s">
        <v>79</v>
      </c>
    </row>
    <row r="5" customFormat="false" ht="15" hidden="false" customHeight="true" outlineLevel="0" collapsed="false">
      <c r="A5" s="7" t="s">
        <v>36</v>
      </c>
      <c r="B5" s="8" t="s">
        <v>37</v>
      </c>
      <c r="C5" s="8" t="s">
        <v>38</v>
      </c>
      <c r="D5" s="8" t="s">
        <v>39</v>
      </c>
      <c r="E5" s="8" t="s">
        <v>40</v>
      </c>
      <c r="F5" s="8" t="s">
        <v>41</v>
      </c>
      <c r="G5" s="8" t="s">
        <v>42</v>
      </c>
      <c r="H5" s="8" t="s">
        <v>43</v>
      </c>
    </row>
    <row r="6" customFormat="false" ht="15" hidden="false" customHeight="true" outlineLevel="0" collapsed="false">
      <c r="A6" s="9" t="s">
        <v>80</v>
      </c>
    </row>
    <row r="7" customFormat="false" ht="15" hidden="false" customHeight="true" outlineLevel="0" collapsed="false">
      <c r="A7" s="10" t="s">
        <v>81</v>
      </c>
      <c r="B7" s="14" t="n">
        <v>21746</v>
      </c>
      <c r="C7" s="14" t="n">
        <v>22466</v>
      </c>
    </row>
    <row r="8" customFormat="false" ht="15" hidden="false" customHeight="true" outlineLevel="0" collapsed="false">
      <c r="A8" s="10" t="s">
        <v>82</v>
      </c>
      <c r="B8" s="14" t="n">
        <v>4343</v>
      </c>
      <c r="C8" s="14" t="n">
        <v>4458</v>
      </c>
    </row>
    <row r="9" customFormat="false" ht="15" hidden="false" customHeight="true" outlineLevel="0" collapsed="false">
      <c r="A9" s="10" t="s">
        <v>83</v>
      </c>
      <c r="B9" s="14" t="n">
        <v>399</v>
      </c>
      <c r="C9" s="14" t="n">
        <v>429</v>
      </c>
    </row>
    <row r="10" customFormat="false" ht="15" hidden="false" customHeight="true" outlineLevel="0" collapsed="false">
      <c r="A10" s="10" t="s">
        <v>84</v>
      </c>
      <c r="B10" s="14" t="n">
        <v>622</v>
      </c>
      <c r="C10" s="14" t="n">
        <v>602</v>
      </c>
    </row>
    <row r="11" customFormat="false" ht="15" hidden="false" customHeight="true" outlineLevel="0" collapsed="false">
      <c r="A11" s="10" t="s">
        <v>85</v>
      </c>
      <c r="B11" s="14" t="n">
        <v>1970</v>
      </c>
      <c r="C11" s="14" t="n">
        <v>2072</v>
      </c>
    </row>
    <row r="12" customFormat="false" ht="15" hidden="false" customHeight="true" outlineLevel="0" collapsed="false">
      <c r="A12" s="10" t="s">
        <v>86</v>
      </c>
      <c r="B12" s="14" t="n">
        <v>2149</v>
      </c>
      <c r="C12" s="14" t="n">
        <v>2213</v>
      </c>
    </row>
    <row r="13" customFormat="false" ht="15" hidden="false" customHeight="true" outlineLevel="0" collapsed="false">
      <c r="A13" s="10" t="s">
        <v>87</v>
      </c>
      <c r="B13" s="14" t="n">
        <v>399</v>
      </c>
      <c r="C13" s="14" t="n">
        <v>429</v>
      </c>
    </row>
    <row r="14" customFormat="false" ht="15" hidden="false" customHeight="true" outlineLevel="0" collapsed="false">
      <c r="A14" s="10" t="s">
        <v>88</v>
      </c>
      <c r="B14" s="14" t="n">
        <v>259</v>
      </c>
      <c r="C14" s="14" t="n">
        <v>204</v>
      </c>
    </row>
    <row r="15" customFormat="false" ht="15" hidden="false" customHeight="true" outlineLevel="0" collapsed="false">
      <c r="A15" s="10" t="s">
        <v>89</v>
      </c>
      <c r="B15" s="14" t="n">
        <v>0</v>
      </c>
      <c r="C15" s="14" t="n">
        <v>283</v>
      </c>
    </row>
    <row r="16" customFormat="false" ht="15" hidden="false" customHeight="true" outlineLevel="0" collapsed="false">
      <c r="A16" s="10" t="s">
        <v>90</v>
      </c>
      <c r="B16" s="14" t="n">
        <v>0</v>
      </c>
      <c r="C16" s="14" t="n">
        <v>-45</v>
      </c>
    </row>
    <row r="17" customFormat="false" ht="15" hidden="false" customHeight="true" outlineLevel="0" collapsed="false">
      <c r="A17" s="10" t="s">
        <v>91</v>
      </c>
      <c r="B17" s="14" t="n">
        <v>2009</v>
      </c>
      <c r="C17" s="14" t="n">
        <v>2226</v>
      </c>
    </row>
    <row r="18" customFormat="false" ht="15" hidden="false" customHeight="true" outlineLevel="0" collapsed="false">
      <c r="A18" s="10" t="s">
        <v>92</v>
      </c>
      <c r="B18" s="14" t="n">
        <v>520</v>
      </c>
      <c r="C18" s="14" t="n">
        <v>520</v>
      </c>
    </row>
    <row r="19" customFormat="false" ht="15" hidden="false" customHeight="true" outlineLevel="0" collapsed="false">
      <c r="A19" s="10" t="s">
        <v>93</v>
      </c>
      <c r="B19" s="14" t="n">
        <v>1489</v>
      </c>
      <c r="C19" s="14" t="n">
        <v>1705</v>
      </c>
    </row>
    <row r="20" customFormat="false" ht="15" hidden="false" customHeight="true" outlineLevel="0" collapsed="false">
      <c r="A20" s="4"/>
    </row>
    <row r="21" customFormat="false" ht="15" hidden="false" customHeight="true" outlineLevel="0" collapsed="false">
      <c r="A21" s="9" t="s">
        <v>94</v>
      </c>
    </row>
    <row r="22" customFormat="false" ht="15" hidden="false" customHeight="true" outlineLevel="0" collapsed="false">
      <c r="A22" s="10" t="s">
        <v>45</v>
      </c>
      <c r="B22" s="14" t="n">
        <v>2395</v>
      </c>
      <c r="C22" s="14" t="n">
        <v>2585</v>
      </c>
    </row>
    <row r="23" customFormat="false" ht="15" hidden="false" customHeight="true" outlineLevel="0" collapsed="false">
      <c r="A23" s="10" t="s">
        <v>46</v>
      </c>
      <c r="B23" s="14" t="n">
        <v>7184</v>
      </c>
      <c r="C23" s="14" t="n">
        <v>8677</v>
      </c>
    </row>
    <row r="24" customFormat="false" ht="15" hidden="false" customHeight="true" outlineLevel="0" collapsed="false">
      <c r="A24" s="10" t="s">
        <v>47</v>
      </c>
      <c r="B24" s="14" t="n">
        <v>1653</v>
      </c>
      <c r="C24" s="14" t="n">
        <v>1655</v>
      </c>
    </row>
    <row r="25" customFormat="false" ht="15" hidden="false" customHeight="true" outlineLevel="0" collapsed="false">
      <c r="A25" s="10" t="s">
        <v>48</v>
      </c>
      <c r="B25" s="14" t="n">
        <v>4011</v>
      </c>
      <c r="C25" s="14" t="n">
        <v>3874</v>
      </c>
    </row>
    <row r="26" customFormat="false" ht="15" hidden="false" customHeight="true" outlineLevel="0" collapsed="false">
      <c r="A26" s="10" t="s">
        <v>95</v>
      </c>
      <c r="B26" s="14" t="n">
        <v>1379</v>
      </c>
      <c r="C26" s="14" t="n">
        <v>1727</v>
      </c>
    </row>
    <row r="27" customFormat="false" ht="15" hidden="false" customHeight="true" outlineLevel="0" collapsed="false">
      <c r="A27" s="10" t="s">
        <v>50</v>
      </c>
      <c r="B27" s="14" t="n">
        <v>5123</v>
      </c>
      <c r="C27" s="14" t="n">
        <v>3948</v>
      </c>
    </row>
    <row r="28" customFormat="false" ht="15" hidden="false" customHeight="true" outlineLevel="0" collapsed="false">
      <c r="A28" s="4"/>
    </row>
    <row r="29" customFormat="false" ht="15" hidden="false" customHeight="true" outlineLevel="0" collapsed="false">
      <c r="A29" s="9" t="s">
        <v>96</v>
      </c>
    </row>
    <row r="30" customFormat="false" ht="15" hidden="false" customHeight="true" outlineLevel="0" collapsed="false">
      <c r="A30" s="10" t="s">
        <v>97</v>
      </c>
      <c r="B30" s="14" t="n">
        <v>4745</v>
      </c>
      <c r="C30" s="14" t="n">
        <v>5761</v>
      </c>
    </row>
    <row r="31" customFormat="false" ht="15" hidden="false" customHeight="true" outlineLevel="0" collapsed="false">
      <c r="A31" s="10" t="s">
        <v>98</v>
      </c>
      <c r="B31" s="14" t="n">
        <v>74</v>
      </c>
      <c r="C31" s="14" t="n">
        <v>956</v>
      </c>
    </row>
    <row r="32" customFormat="false" ht="15" hidden="false" customHeight="true" outlineLevel="0" collapsed="false">
      <c r="A32" s="10" t="s">
        <v>99</v>
      </c>
      <c r="B32" s="14" t="n">
        <v>158</v>
      </c>
      <c r="C32" s="14" t="n">
        <v>247</v>
      </c>
    </row>
    <row r="33" customFormat="false" ht="15" hidden="false" customHeight="true" outlineLevel="0" collapsed="false">
      <c r="A33" s="10" t="s">
        <v>100</v>
      </c>
      <c r="B33" s="14" t="n">
        <v>4007</v>
      </c>
      <c r="C33" s="14" t="n">
        <v>4398</v>
      </c>
    </row>
    <row r="34" customFormat="false" ht="15" hidden="false" customHeight="true" outlineLevel="0" collapsed="false">
      <c r="A34" s="10" t="s">
        <v>101</v>
      </c>
      <c r="B34" s="14" t="n">
        <v>1254</v>
      </c>
      <c r="C34" s="14" t="n">
        <v>782</v>
      </c>
    </row>
    <row r="35" customFormat="false" ht="15" hidden="false" customHeight="true" outlineLevel="0" collapsed="false">
      <c r="A35" s="10" t="s">
        <v>102</v>
      </c>
      <c r="B35" s="14" t="n">
        <v>3353</v>
      </c>
      <c r="C35" s="14" t="n">
        <v>2351</v>
      </c>
    </row>
    <row r="36" customFormat="false" ht="15" hidden="false" customHeight="true" outlineLevel="0" collapsed="false">
      <c r="A36" s="10" t="s">
        <v>103</v>
      </c>
      <c r="B36" s="14" t="n">
        <v>6</v>
      </c>
      <c r="C36" s="14" t="n">
        <v>9</v>
      </c>
    </row>
    <row r="37" customFormat="false" ht="15" hidden="false" customHeight="true" outlineLevel="0" collapsed="false">
      <c r="A37" s="10" t="s">
        <v>104</v>
      </c>
      <c r="B37" s="14" t="n">
        <v>179</v>
      </c>
      <c r="C37" s="14" t="n">
        <v>221</v>
      </c>
    </row>
    <row r="38" customFormat="false" ht="15" hidden="false" customHeight="true" outlineLevel="0" collapsed="false">
      <c r="A38" s="10" t="s">
        <v>105</v>
      </c>
      <c r="B38" s="14" t="n">
        <v>13775</v>
      </c>
      <c r="C38" s="14" t="n">
        <v>14724</v>
      </c>
    </row>
    <row r="39" customFormat="false" ht="15" hidden="false" customHeight="true" outlineLevel="0" collapsed="false">
      <c r="A39" s="10" t="s">
        <v>106</v>
      </c>
      <c r="B39" s="14" t="n">
        <v>63</v>
      </c>
      <c r="C39" s="14" t="n">
        <v>63</v>
      </c>
    </row>
    <row r="40" customFormat="false" ht="15" hidden="false" customHeight="true" outlineLevel="0" collapsed="false">
      <c r="A40" s="10" t="s">
        <v>107</v>
      </c>
      <c r="B40" s="14" t="n">
        <v>8268</v>
      </c>
      <c r="C40" s="14" t="n">
        <v>9414</v>
      </c>
    </row>
    <row r="41" customFormat="false" ht="15" hidden="false" customHeight="true" outlineLevel="0" collapsed="false">
      <c r="A41" s="10" t="s">
        <v>108</v>
      </c>
      <c r="B41" s="14" t="n">
        <v>241</v>
      </c>
      <c r="C41" s="14" t="n">
        <v>188</v>
      </c>
    </row>
    <row r="42" customFormat="false" ht="15" hidden="false" customHeight="true" outlineLevel="0" collapsed="false">
      <c r="A42" s="10" t="s">
        <v>109</v>
      </c>
      <c r="B42" s="14" t="n">
        <v>375</v>
      </c>
      <c r="C42" s="14" t="n">
        <v>435</v>
      </c>
    </row>
    <row r="43" customFormat="false" ht="15" hidden="false" customHeight="true" outlineLevel="0" collapsed="false">
      <c r="A43" s="10" t="s">
        <v>110</v>
      </c>
      <c r="B43" s="14" t="n">
        <v>67</v>
      </c>
      <c r="C43" s="14" t="n">
        <v>62</v>
      </c>
    </row>
    <row r="44" customFormat="false" ht="15" hidden="false" customHeight="true" outlineLevel="0" collapsed="false">
      <c r="A44" s="10" t="s">
        <v>111</v>
      </c>
      <c r="B44" s="14" t="n">
        <v>78</v>
      </c>
      <c r="C44" s="14" t="n">
        <v>77</v>
      </c>
    </row>
    <row r="45" customFormat="false" ht="15" hidden="false" customHeight="true" outlineLevel="0" collapsed="false">
      <c r="A45" s="10" t="s">
        <v>112</v>
      </c>
      <c r="B45" s="14" t="n">
        <v>3040</v>
      </c>
      <c r="C45" s="14" t="n">
        <v>2903</v>
      </c>
    </row>
    <row r="46" customFormat="false" ht="15" hidden="false" customHeight="true" outlineLevel="0" collapsed="false">
      <c r="A46" s="10" t="s">
        <v>113</v>
      </c>
      <c r="B46" s="14" t="n">
        <v>865</v>
      </c>
      <c r="C46" s="14" t="n">
        <v>868</v>
      </c>
    </row>
    <row r="47" customFormat="false" ht="15" hidden="false" customHeight="true" outlineLevel="0" collapsed="false">
      <c r="A47" s="10" t="s">
        <v>114</v>
      </c>
      <c r="B47" s="14" t="n">
        <v>778</v>
      </c>
      <c r="C47" s="14" t="n">
        <v>715</v>
      </c>
    </row>
    <row r="48" customFormat="false" ht="15" hidden="false" customHeight="true" outlineLevel="0" collapsed="false">
      <c r="A48" s="10" t="s">
        <v>115</v>
      </c>
      <c r="B48" s="14" t="n">
        <v>13775</v>
      </c>
      <c r="C48" s="14" t="n">
        <v>14724</v>
      </c>
    </row>
    <row r="49" customFormat="false" ht="15" hidden="false" customHeight="true" outlineLevel="0" collapsed="false">
      <c r="A49" s="4"/>
    </row>
    <row r="50" customFormat="false" ht="15" hidden="false" customHeight="true" outlineLevel="0" collapsed="false">
      <c r="A50" s="9" t="s">
        <v>116</v>
      </c>
    </row>
    <row r="51" customFormat="false" ht="15" hidden="false" customHeight="true" outlineLevel="0" collapsed="false">
      <c r="A51" s="10" t="s">
        <v>117</v>
      </c>
      <c r="B51" s="14" t="n">
        <v>1543</v>
      </c>
      <c r="C51" s="14" t="n">
        <v>1557</v>
      </c>
    </row>
    <row r="52" customFormat="false" ht="15" hidden="false" customHeight="true" outlineLevel="0" collapsed="false">
      <c r="A52" s="10" t="s">
        <v>118</v>
      </c>
      <c r="B52" s="14" t="n">
        <v>-753</v>
      </c>
      <c r="C52" s="14" t="n">
        <v>-1484</v>
      </c>
    </row>
    <row r="53" customFormat="false" ht="15" hidden="false" customHeight="true" outlineLevel="0" collapsed="false">
      <c r="A53" s="10" t="s">
        <v>119</v>
      </c>
      <c r="B53" s="14" t="n">
        <v>-627</v>
      </c>
      <c r="C53" s="14" t="n">
        <v>-627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3" min="2" style="1" width="13"/>
  </cols>
  <sheetData>
    <row r="1" customFormat="false" ht="15.75" hidden="false" customHeight="true" outlineLevel="0" collapsed="false">
      <c r="A1" s="2" t="s">
        <v>120</v>
      </c>
    </row>
    <row r="2" customFormat="false" ht="15" hidden="false" customHeight="true" outlineLevel="0" collapsed="false">
      <c r="A2" s="3" t="s">
        <v>121</v>
      </c>
    </row>
    <row r="3" customFormat="false" ht="15" hidden="false" customHeight="true" outlineLevel="0" collapsed="false">
      <c r="A3" s="3" t="s">
        <v>122</v>
      </c>
    </row>
    <row r="5" customFormat="false" ht="15" hidden="false" customHeight="true" outlineLevel="0" collapsed="false">
      <c r="A5" s="7" t="s">
        <v>36</v>
      </c>
      <c r="B5" s="8" t="s">
        <v>37</v>
      </c>
      <c r="C5" s="8" t="s">
        <v>38</v>
      </c>
      <c r="D5" s="8" t="s">
        <v>39</v>
      </c>
      <c r="E5" s="8" t="s">
        <v>40</v>
      </c>
      <c r="F5" s="8" t="s">
        <v>41</v>
      </c>
      <c r="G5" s="8" t="s">
        <v>42</v>
      </c>
      <c r="H5" s="8" t="s">
        <v>43</v>
      </c>
    </row>
    <row r="7" customFormat="false" ht="15" hidden="false" customHeight="true" outlineLevel="0" collapsed="false">
      <c r="A7" s="9" t="s">
        <v>123</v>
      </c>
    </row>
    <row r="9" customFormat="false" ht="15" hidden="false" customHeight="true" outlineLevel="0" collapsed="false">
      <c r="A9" s="10" t="s">
        <v>45</v>
      </c>
      <c r="B9" s="14" t="n">
        <v>2395</v>
      </c>
      <c r="C9" s="14" t="n">
        <v>2585</v>
      </c>
      <c r="D9" s="18" t="n">
        <f aca="false">C9*(1+Assumptions!D$7)</f>
        <v>2817.65</v>
      </c>
      <c r="E9" s="18" t="n">
        <f aca="false">D9*(1+Assumptions!E$7)</f>
        <v>3071.2385</v>
      </c>
      <c r="F9" s="18" t="n">
        <f aca="false">E9*(1+Assumptions!F$7)</f>
        <v>3347.649965</v>
      </c>
      <c r="G9" s="18" t="n">
        <f aca="false">F9*(1+Assumptions!G$7)</f>
        <v>3615.4619622</v>
      </c>
      <c r="H9" s="18" t="n">
        <f aca="false">G9*(1+Assumptions!H$7)</f>
        <v>3904.698919176</v>
      </c>
    </row>
    <row r="10" customFormat="false" ht="15" hidden="false" customHeight="true" outlineLevel="0" collapsed="false">
      <c r="A10" s="10" t="s">
        <v>46</v>
      </c>
      <c r="B10" s="14" t="n">
        <v>7184</v>
      </c>
      <c r="C10" s="14" t="n">
        <v>8677</v>
      </c>
      <c r="D10" s="18" t="n">
        <f aca="false">C10*(1+Assumptions!D$8)</f>
        <v>9891.78</v>
      </c>
      <c r="E10" s="18" t="n">
        <f aca="false">D10*(1+Assumptions!E$8)</f>
        <v>11177.7114</v>
      </c>
      <c r="F10" s="18" t="n">
        <f aca="false">E10*(1+Assumptions!F$8)</f>
        <v>12519.036768</v>
      </c>
      <c r="G10" s="18" t="n">
        <f aca="false">F10*(1+Assumptions!G$8)</f>
        <v>13896.13081248</v>
      </c>
      <c r="H10" s="18" t="n">
        <f aca="false">G10*(1+Assumptions!H$8)</f>
        <v>15285.743893728</v>
      </c>
    </row>
    <row r="11" customFormat="false" ht="15" hidden="false" customHeight="true" outlineLevel="0" collapsed="false">
      <c r="A11" s="10" t="s">
        <v>47</v>
      </c>
      <c r="B11" s="14" t="n">
        <v>1653</v>
      </c>
      <c r="C11" s="14" t="n">
        <v>1655</v>
      </c>
      <c r="D11" s="18" t="n">
        <f aca="false">C11*(1+Assumptions!D$9)</f>
        <v>1704.65</v>
      </c>
      <c r="E11" s="18" t="n">
        <f aca="false">D11*(1+Assumptions!E$9)</f>
        <v>1772.836</v>
      </c>
      <c r="F11" s="18" t="n">
        <f aca="false">E11*(1+Assumptions!F$9)</f>
        <v>1843.74944</v>
      </c>
      <c r="G11" s="18" t="n">
        <f aca="false">F11*(1+Assumptions!G$9)</f>
        <v>1917.4994176</v>
      </c>
      <c r="H11" s="18" t="n">
        <f aca="false">G11*(1+Assumptions!H$9)</f>
        <v>1994.199394304</v>
      </c>
    </row>
    <row r="12" customFormat="false" ht="15" hidden="false" customHeight="true" outlineLevel="0" collapsed="false">
      <c r="A12" s="10" t="s">
        <v>48</v>
      </c>
      <c r="B12" s="14" t="n">
        <v>4011</v>
      </c>
      <c r="C12" s="14" t="n">
        <v>3874</v>
      </c>
      <c r="D12" s="18" t="n">
        <f aca="false">C12*(1+Assumptions!D$10)</f>
        <v>4183.92</v>
      </c>
      <c r="E12" s="18" t="n">
        <f aca="false">D12*(1+Assumptions!E$10)</f>
        <v>4560.4728</v>
      </c>
      <c r="F12" s="18" t="n">
        <f aca="false">E12*(1+Assumptions!F$10)</f>
        <v>4970.915352</v>
      </c>
      <c r="G12" s="18" t="n">
        <f aca="false">F12*(1+Assumptions!G$10)</f>
        <v>5368.58858016</v>
      </c>
      <c r="H12" s="18" t="n">
        <f aca="false">G12*(1+Assumptions!H$10)</f>
        <v>5798.0756665728</v>
      </c>
    </row>
    <row r="13" customFormat="false" ht="15" hidden="false" customHeight="true" outlineLevel="0" collapsed="false">
      <c r="A13" s="10" t="s">
        <v>49</v>
      </c>
      <c r="B13" s="14" t="n">
        <v>1379</v>
      </c>
      <c r="C13" s="14" t="n">
        <v>1727</v>
      </c>
      <c r="D13" s="18" t="n">
        <f aca="false">C13*(1+Assumptions!D$11)</f>
        <v>2106.94</v>
      </c>
      <c r="E13" s="18" t="n">
        <f aca="false">D13*(1+Assumptions!E$11)</f>
        <v>2528.328</v>
      </c>
      <c r="F13" s="18" t="n">
        <f aca="false">E13*(1+Assumptions!F$11)</f>
        <v>2983.42704</v>
      </c>
      <c r="G13" s="18" t="n">
        <f aca="false">F13*(1+Assumptions!G$11)</f>
        <v>3430.941096</v>
      </c>
      <c r="H13" s="18" t="n">
        <f aca="false">G13*(1+Assumptions!H$11)</f>
        <v>3842.65402752</v>
      </c>
    </row>
    <row r="14" customFormat="false" ht="15" hidden="false" customHeight="true" outlineLevel="0" collapsed="false">
      <c r="A14" s="10" t="s">
        <v>50</v>
      </c>
      <c r="B14" s="14" t="n">
        <v>5123</v>
      </c>
      <c r="C14" s="14" t="n">
        <v>3948</v>
      </c>
      <c r="D14" s="18" t="n">
        <f aca="false">C14*(1+Assumptions!D$12)</f>
        <v>4421.76</v>
      </c>
      <c r="E14" s="18" t="n">
        <f aca="false">D14*(1+Assumptions!E$12)</f>
        <v>5040.8064</v>
      </c>
      <c r="F14" s="18" t="n">
        <f aca="false">E14*(1+Assumptions!F$12)</f>
        <v>5645.703168</v>
      </c>
      <c r="G14" s="18" t="n">
        <f aca="false">F14*(1+Assumptions!G$12)</f>
        <v>6210.2734848</v>
      </c>
      <c r="H14" s="18" t="n">
        <f aca="false">G14*(1+Assumptions!H$12)</f>
        <v>6769.198098432</v>
      </c>
    </row>
    <row r="15" customFormat="false" ht="15" hidden="false" customHeight="true" outlineLevel="0" collapsed="false">
      <c r="A15" s="4" t="s">
        <v>81</v>
      </c>
      <c r="B15" s="19" t="n">
        <f aca="false">SUM(B9:B14)</f>
        <v>21745</v>
      </c>
      <c r="C15" s="19" t="n">
        <f aca="false">SUM(C9:C14)</f>
        <v>22466</v>
      </c>
      <c r="D15" s="19" t="n">
        <f aca="false">SUM(D9:D14)</f>
        <v>25126.7</v>
      </c>
      <c r="E15" s="19" t="n">
        <f aca="false">SUM(E9:E14)</f>
        <v>28151.3931</v>
      </c>
      <c r="F15" s="19" t="n">
        <f aca="false">SUM(F9:F14)</f>
        <v>31310.481733</v>
      </c>
      <c r="G15" s="19" t="n">
        <f aca="false">SUM(G9:G14)</f>
        <v>34438.89535324</v>
      </c>
      <c r="H15" s="19" t="n">
        <f aca="false">SUM(H9:H14)</f>
        <v>37594.5699997328</v>
      </c>
    </row>
    <row r="17" customFormat="false" ht="15" hidden="false" customHeight="true" outlineLevel="0" collapsed="false">
      <c r="A17" s="9" t="s">
        <v>124</v>
      </c>
    </row>
    <row r="18" customFormat="false" ht="15" hidden="false" customHeight="true" outlineLevel="0" collapsed="false">
      <c r="A18" s="10" t="s">
        <v>45</v>
      </c>
      <c r="B18" s="18" t="n">
        <f aca="false">B9*Assumptions!B$15</f>
        <v>907.705</v>
      </c>
      <c r="C18" s="18" t="n">
        <f aca="false">C9*Assumptions!C$15</f>
        <v>953.865</v>
      </c>
      <c r="D18" s="18" t="n">
        <f aca="false">D9*Assumptions!D$15</f>
        <v>1048.1658</v>
      </c>
      <c r="E18" s="18" t="n">
        <f aca="false">E9*Assumptions!E$15</f>
        <v>1151.7144375</v>
      </c>
      <c r="F18" s="18" t="n">
        <f aca="false">F9*Assumptions!F$15</f>
        <v>1255.368736875</v>
      </c>
      <c r="G18" s="18" t="n">
        <f aca="false">G9*Assumptions!G$15</f>
        <v>1355.798235825</v>
      </c>
      <c r="H18" s="18" t="n">
        <f aca="false">H9*Assumptions!H$15</f>
        <v>1464.262094691</v>
      </c>
    </row>
    <row r="19" customFormat="false" ht="15" hidden="false" customHeight="true" outlineLevel="0" collapsed="false">
      <c r="A19" s="10" t="s">
        <v>46</v>
      </c>
      <c r="B19" s="18" t="n">
        <f aca="false">B10*Assumptions!B$16</f>
        <v>1012.944</v>
      </c>
      <c r="C19" s="18" t="n">
        <f aca="false">C10*Assumptions!C$16</f>
        <v>1466.413</v>
      </c>
      <c r="D19" s="18" t="n">
        <f aca="false">D10*Assumptions!D$16</f>
        <v>1632.1437</v>
      </c>
      <c r="E19" s="18" t="n">
        <f aca="false">E10*Assumptions!E$16</f>
        <v>1821.9669582</v>
      </c>
      <c r="F19" s="18" t="n">
        <f aca="false">F10*Assumptions!F$16</f>
        <v>2028.083956416</v>
      </c>
      <c r="G19" s="18" t="n">
        <f aca="false">G10*Assumptions!G$16</f>
        <v>2223.3809299968</v>
      </c>
      <c r="H19" s="18" t="n">
        <f aca="false">H10*Assumptions!H$16</f>
        <v>2445.71902299648</v>
      </c>
    </row>
    <row r="20" customFormat="false" ht="15" hidden="false" customHeight="true" outlineLevel="0" collapsed="false">
      <c r="A20" s="10" t="s">
        <v>47</v>
      </c>
      <c r="B20" s="18" t="n">
        <f aca="false">B11*Assumptions!B$17</f>
        <v>538.878</v>
      </c>
      <c r="C20" s="18" t="n">
        <f aca="false">C11*Assumptions!C$17</f>
        <v>534.565</v>
      </c>
      <c r="D20" s="18" t="n">
        <f aca="false">D11*Assumptions!D$17</f>
        <v>528.4415</v>
      </c>
      <c r="E20" s="18" t="n">
        <f aca="false">E11*Assumptions!E$17</f>
        <v>549.57916</v>
      </c>
      <c r="F20" s="18" t="n">
        <f aca="false">F11*Assumptions!F$17</f>
        <v>571.5623264</v>
      </c>
      <c r="G20" s="18" t="n">
        <f aca="false">G11*Assumptions!G$17</f>
        <v>594.424819456</v>
      </c>
      <c r="H20" s="18" t="n">
        <f aca="false">H11*Assumptions!H$17</f>
        <v>618.20181223424</v>
      </c>
    </row>
    <row r="21" customFormat="false" ht="15" hidden="false" customHeight="true" outlineLevel="0" collapsed="false">
      <c r="A21" s="10" t="s">
        <v>48</v>
      </c>
      <c r="B21" s="18" t="n">
        <f aca="false">B12*Assumptions!B$18</f>
        <v>954.618</v>
      </c>
      <c r="C21" s="18" t="n">
        <f aca="false">C12*Assumptions!C$18</f>
        <v>891.02</v>
      </c>
      <c r="D21" s="18" t="n">
        <f aca="false">D12*Assumptions!D$18</f>
        <v>974.85336</v>
      </c>
      <c r="E21" s="18" t="n">
        <f aca="false">E12*Assumptions!E$18</f>
        <v>1071.711108</v>
      </c>
      <c r="F21" s="18" t="n">
        <f aca="false">F12*Assumptions!F$18</f>
        <v>1168.16510772</v>
      </c>
      <c r="G21" s="18" t="n">
        <f aca="false">G12*Assumptions!G$18</f>
        <v>1261.6183163376</v>
      </c>
      <c r="H21" s="18" t="n">
        <f aca="false">H12*Assumptions!H$18</f>
        <v>1362.54778164461</v>
      </c>
    </row>
    <row r="22" customFormat="false" ht="15" hidden="false" customHeight="true" outlineLevel="0" collapsed="false">
      <c r="A22" s="10" t="s">
        <v>49</v>
      </c>
      <c r="B22" s="18" t="n">
        <f aca="false">B13*Assumptions!B$19</f>
        <v>234.43</v>
      </c>
      <c r="C22" s="18" t="n">
        <f aca="false">C13*Assumptions!C$19</f>
        <v>279.774</v>
      </c>
      <c r="D22" s="18" t="n">
        <f aca="false">D13*Assumptions!D$19</f>
        <v>347.6451</v>
      </c>
      <c r="E22" s="18" t="n">
        <f aca="false">E13*Assumptions!E$19</f>
        <v>424.759104</v>
      </c>
      <c r="F22" s="18" t="n">
        <f aca="false">F13*Assumptions!F$19</f>
        <v>507.1825968</v>
      </c>
      <c r="G22" s="18" t="n">
        <f aca="false">G13*Assumptions!G$19</f>
        <v>583.25998632</v>
      </c>
      <c r="H22" s="18" t="n">
        <f aca="false">H13*Assumptions!H$19</f>
        <v>653.2511846784</v>
      </c>
    </row>
    <row r="23" customFormat="false" ht="15" hidden="false" customHeight="true" outlineLevel="0" collapsed="false">
      <c r="A23" s="10" t="s">
        <v>50</v>
      </c>
      <c r="B23" s="18" t="n">
        <f aca="false">B14*Assumptions!B$20</f>
        <v>691.605</v>
      </c>
      <c r="C23" s="18" t="n">
        <f aca="false">C14*Assumptions!C$20</f>
        <v>331.632</v>
      </c>
      <c r="D23" s="18" t="n">
        <f aca="false">D14*Assumptions!D$20</f>
        <v>442.176</v>
      </c>
      <c r="E23" s="18" t="n">
        <f aca="false">E14*Assumptions!E$20</f>
        <v>579.692736</v>
      </c>
      <c r="F23" s="18" t="n">
        <f aca="false">F14*Assumptions!F$20</f>
        <v>705.712896</v>
      </c>
      <c r="G23" s="18" t="n">
        <f aca="false">G14*Assumptions!G$20</f>
        <v>807.335553024</v>
      </c>
      <c r="H23" s="18" t="n">
        <f aca="false">H14*Assumptions!H$20</f>
        <v>879.99575279616</v>
      </c>
    </row>
    <row r="24" customFormat="false" ht="15" hidden="false" customHeight="true" outlineLevel="0" collapsed="false">
      <c r="A24" s="4" t="s">
        <v>125</v>
      </c>
      <c r="B24" s="19" t="n">
        <f aca="false">SUM(B18:B23)</f>
        <v>4340.18</v>
      </c>
      <c r="C24" s="19" t="n">
        <f aca="false">SUM(C18:C23)</f>
        <v>4457.269</v>
      </c>
      <c r="D24" s="19" t="n">
        <f aca="false">SUM(D18:D23)</f>
        <v>4973.42546</v>
      </c>
      <c r="E24" s="19" t="n">
        <f aca="false">SUM(E18:E23)</f>
        <v>5599.4235037</v>
      </c>
      <c r="F24" s="19" t="n">
        <f aca="false">SUM(F18:F23)</f>
        <v>6236.075620211</v>
      </c>
      <c r="G24" s="19" t="n">
        <f aca="false">SUM(G18:G23)</f>
        <v>6825.8178409594</v>
      </c>
      <c r="H24" s="19" t="n">
        <f aca="false">SUM(H18:H23)</f>
        <v>7423.97764904089</v>
      </c>
    </row>
    <row r="25" customFormat="false" ht="15" hidden="false" customHeight="true" outlineLevel="0" collapsed="false">
      <c r="A25" s="6" t="s">
        <v>126</v>
      </c>
      <c r="B25" s="20" t="n">
        <f aca="false">B24/B15</f>
        <v>0.199594389514831</v>
      </c>
      <c r="C25" s="20" t="n">
        <f aca="false">C24/C15</f>
        <v>0.198400649870916</v>
      </c>
      <c r="D25" s="20" t="n">
        <f aca="false">D24/D15</f>
        <v>0.197933889448276</v>
      </c>
      <c r="E25" s="20" t="n">
        <f aca="false">E24/E15</f>
        <v>0.198903957747654</v>
      </c>
      <c r="F25" s="20" t="n">
        <f aca="false">F24/F15</f>
        <v>0.199168945191872</v>
      </c>
      <c r="G25" s="20" t="n">
        <f aca="false">G24/G15</f>
        <v>0.19820083573956</v>
      </c>
      <c r="H25" s="20" t="n">
        <f aca="false">H24/H15</f>
        <v>0.197474732364106</v>
      </c>
    </row>
    <row r="27" customFormat="false" ht="15" hidden="false" customHeight="true" outlineLevel="0" collapsed="false">
      <c r="A27" s="10" t="s">
        <v>127</v>
      </c>
      <c r="B27" s="21" t="n">
        <f aca="false">Schedules!B$8</f>
        <v>399</v>
      </c>
      <c r="C27" s="21" t="n">
        <f aca="false">Schedules!C$8</f>
        <v>429</v>
      </c>
      <c r="D27" s="21" t="n">
        <f aca="false">Schedules!D$8</f>
        <v>502.534</v>
      </c>
      <c r="E27" s="21" t="n">
        <f aca="false">Schedules!E$8</f>
        <v>591.1792551</v>
      </c>
      <c r="F27" s="21" t="n">
        <f aca="false">Schedules!F$8</f>
        <v>688.830598126</v>
      </c>
      <c r="G27" s="21" t="n">
        <f aca="false">Schedules!G$8</f>
        <v>757.65569777128</v>
      </c>
      <c r="H27" s="21" t="n">
        <f aca="false">Schedules!H$8</f>
        <v>864.675109993855</v>
      </c>
    </row>
    <row r="28" customFormat="false" ht="15" hidden="false" customHeight="true" outlineLevel="0" collapsed="false">
      <c r="A28" s="10" t="s">
        <v>84</v>
      </c>
      <c r="B28" s="18" t="n">
        <f aca="false">-B15*Assumptions!B$23</f>
        <v>-630.605</v>
      </c>
      <c r="C28" s="18" t="n">
        <f aca="false">-C15*Assumptions!C$23</f>
        <v>-606.582</v>
      </c>
      <c r="D28" s="18" t="n">
        <f aca="false">-D15*Assumptions!D$23</f>
        <v>-703.5476</v>
      </c>
      <c r="E28" s="18" t="n">
        <f aca="false">-E15*Assumptions!E$23</f>
        <v>-788.2390068</v>
      </c>
      <c r="F28" s="18" t="n">
        <f aca="false">-F15*Assumptions!F$23</f>
        <v>-876.693488524</v>
      </c>
      <c r="G28" s="18" t="n">
        <f aca="false">-G15*Assumptions!G$23</f>
        <v>-964.28906989072</v>
      </c>
      <c r="H28" s="18" t="n">
        <f aca="false">-H15*Assumptions!H$23</f>
        <v>-1052.64795999252</v>
      </c>
    </row>
    <row r="29" customFormat="false" ht="15" hidden="false" customHeight="true" outlineLevel="0" collapsed="false">
      <c r="A29" s="10" t="s">
        <v>85</v>
      </c>
      <c r="B29" s="18" t="n">
        <f aca="false">-B15*Assumptions!B$24</f>
        <v>-1978.795</v>
      </c>
      <c r="C29" s="18" t="n">
        <f aca="false">-C15*Assumptions!C$24</f>
        <v>-2066.872</v>
      </c>
      <c r="D29" s="18" t="n">
        <f aca="false">-D15*Assumptions!D$24</f>
        <v>-2261.403</v>
      </c>
      <c r="E29" s="18" t="n">
        <f aca="false">-E15*Assumptions!E$24</f>
        <v>-2533.625379</v>
      </c>
      <c r="F29" s="18" t="n">
        <f aca="false">-F15*Assumptions!F$24</f>
        <v>-2817.94335597</v>
      </c>
      <c r="G29" s="18" t="n">
        <f aca="false">-G15*Assumptions!G$24</f>
        <v>-3099.5005817916</v>
      </c>
      <c r="H29" s="18" t="n">
        <f aca="false">-H15*Assumptions!H$24</f>
        <v>-3383.51129997595</v>
      </c>
    </row>
    <row r="30" customFormat="false" ht="15" hidden="false" customHeight="true" outlineLevel="0" collapsed="false">
      <c r="A30" s="4" t="s">
        <v>86</v>
      </c>
      <c r="B30" s="19" t="n">
        <f aca="false">B24+B27+B28+B29</f>
        <v>2129.78</v>
      </c>
      <c r="C30" s="19" t="n">
        <f aca="false">C24+C27+C28+C29</f>
        <v>2212.815</v>
      </c>
      <c r="D30" s="19" t="n">
        <f aca="false">D24+D27+D28+D29</f>
        <v>2511.00886</v>
      </c>
      <c r="E30" s="19" t="n">
        <f aca="false">E24+E27+E28+E29</f>
        <v>2868.738373</v>
      </c>
      <c r="F30" s="19" t="n">
        <f aca="false">F24+F27+F28+F29</f>
        <v>3230.269373843</v>
      </c>
      <c r="G30" s="19" t="n">
        <f aca="false">G24+G27+G28+G29</f>
        <v>3519.68388704836</v>
      </c>
      <c r="H30" s="19" t="n">
        <f aca="false">H24+H27+H28+H29</f>
        <v>3852.49349906627</v>
      </c>
    </row>
    <row r="31" customFormat="false" ht="15" hidden="false" customHeight="true" outlineLevel="0" collapsed="false">
      <c r="A31" s="6" t="s">
        <v>128</v>
      </c>
      <c r="B31" s="20" t="n">
        <f aca="false">B30/B15</f>
        <v>0.0979434352724765</v>
      </c>
      <c r="C31" s="20" t="n">
        <f aca="false">C30/C15</f>
        <v>0.0984961719932342</v>
      </c>
      <c r="D31" s="20" t="n">
        <f aca="false">D30/D15</f>
        <v>0.0999338894482761</v>
      </c>
      <c r="E31" s="20" t="n">
        <f aca="false">E30/E15</f>
        <v>0.101903957747654</v>
      </c>
      <c r="F31" s="20" t="n">
        <f aca="false">F30/F15</f>
        <v>0.103168945191872</v>
      </c>
      <c r="G31" s="20" t="n">
        <f aca="false">G30/G15</f>
        <v>0.10220083573956</v>
      </c>
      <c r="H31" s="20" t="n">
        <f aca="false">H30/H15</f>
        <v>0.102474732364106</v>
      </c>
    </row>
    <row r="33" customFormat="false" ht="15" hidden="false" customHeight="true" outlineLevel="0" collapsed="false">
      <c r="A33" s="10" t="s">
        <v>129</v>
      </c>
      <c r="B33" s="21" t="n">
        <f aca="false">-Schedules!B$8</f>
        <v>-399</v>
      </c>
      <c r="C33" s="21" t="n">
        <f aca="false">-Schedules!C$8</f>
        <v>-429</v>
      </c>
      <c r="D33" s="21" t="n">
        <f aca="false">-Schedules!D$8</f>
        <v>-502.534</v>
      </c>
      <c r="E33" s="21" t="n">
        <f aca="false">-Schedules!E$8</f>
        <v>-591.1792551</v>
      </c>
      <c r="F33" s="21" t="n">
        <f aca="false">-Schedules!F$8</f>
        <v>-688.830598126</v>
      </c>
      <c r="G33" s="21" t="n">
        <f aca="false">-Schedules!G$8</f>
        <v>-757.65569777128</v>
      </c>
      <c r="H33" s="21" t="n">
        <f aca="false">-Schedules!H$8</f>
        <v>-864.675109993855</v>
      </c>
    </row>
    <row r="34" customFormat="false" ht="15" hidden="false" customHeight="true" outlineLevel="0" collapsed="false">
      <c r="A34" s="4" t="s">
        <v>130</v>
      </c>
      <c r="B34" s="19" t="n">
        <f aca="false">B30+B33</f>
        <v>1730.78</v>
      </c>
      <c r="C34" s="19" t="n">
        <f aca="false">C30+C33</f>
        <v>1783.815</v>
      </c>
      <c r="D34" s="19" t="n">
        <f aca="false">D30+D33</f>
        <v>2008.47486</v>
      </c>
      <c r="E34" s="19" t="n">
        <f aca="false">E30+E33</f>
        <v>2277.5591179</v>
      </c>
      <c r="F34" s="19" t="n">
        <f aca="false">F30+F33</f>
        <v>2541.438775717</v>
      </c>
      <c r="G34" s="19" t="n">
        <f aca="false">G30+G33</f>
        <v>2762.02818927708</v>
      </c>
      <c r="H34" s="19" t="n">
        <f aca="false">H30+H33</f>
        <v>2987.81838907242</v>
      </c>
    </row>
    <row r="35" customFormat="false" ht="15" hidden="false" customHeight="true" outlineLevel="0" collapsed="false">
      <c r="A35" s="6" t="s">
        <v>131</v>
      </c>
      <c r="B35" s="20" t="n">
        <f aca="false">B34/B15</f>
        <v>0.079594389514831</v>
      </c>
      <c r="C35" s="20" t="n">
        <f aca="false">C34/C15</f>
        <v>0.0794006498709161</v>
      </c>
      <c r="D35" s="20" t="n">
        <f aca="false">D34/D15</f>
        <v>0.0799338894482761</v>
      </c>
      <c r="E35" s="20" t="n">
        <f aca="false">E34/E15</f>
        <v>0.0809039577476541</v>
      </c>
      <c r="F35" s="20" t="n">
        <f aca="false">F34/F15</f>
        <v>0.0811689451918724</v>
      </c>
      <c r="G35" s="20" t="n">
        <f aca="false">G34/G15</f>
        <v>0.0802008357395595</v>
      </c>
      <c r="H35" s="20" t="n">
        <f aca="false">H34/H15</f>
        <v>0.0794747323641061</v>
      </c>
    </row>
    <row r="37" customFormat="false" ht="15" hidden="false" customHeight="true" outlineLevel="0" collapsed="false">
      <c r="A37" s="10" t="s">
        <v>132</v>
      </c>
      <c r="B37" s="21" t="n">
        <f aca="false">Assumptions!B$25</f>
        <v>259</v>
      </c>
      <c r="C37" s="21" t="n">
        <f aca="false">Assumptions!C$25</f>
        <v>204</v>
      </c>
      <c r="D37" s="21" t="n">
        <f aca="false">Assumptions!D$25</f>
        <v>220</v>
      </c>
      <c r="E37" s="21" t="n">
        <f aca="false">Assumptions!E$25</f>
        <v>240</v>
      </c>
      <c r="F37" s="21" t="n">
        <f aca="false">Assumptions!F$25</f>
        <v>260</v>
      </c>
      <c r="G37" s="21" t="n">
        <f aca="false">Assumptions!G$25</f>
        <v>280</v>
      </c>
      <c r="H37" s="21" t="n">
        <f aca="false">Assumptions!H$25</f>
        <v>300</v>
      </c>
    </row>
    <row r="38" customFormat="false" ht="15" hidden="false" customHeight="true" outlineLevel="0" collapsed="false">
      <c r="A38" s="10" t="s">
        <v>133</v>
      </c>
      <c r="B38" s="21" t="n">
        <f aca="false">-Schedules!B$29</f>
        <v>-0</v>
      </c>
      <c r="C38" s="21" t="n">
        <f aca="false">-Schedules!C$29</f>
        <v>-37</v>
      </c>
      <c r="D38" s="21" t="n">
        <f aca="false">-Schedules!D$29</f>
        <v>-21.2</v>
      </c>
      <c r="E38" s="21" t="n">
        <f aca="false">-Schedules!E$29</f>
        <v>-21.2</v>
      </c>
      <c r="F38" s="21" t="n">
        <f aca="false">-Schedules!F$29</f>
        <v>-21.2</v>
      </c>
      <c r="G38" s="21" t="n">
        <f aca="false">-Schedules!G$29</f>
        <v>-21.2</v>
      </c>
      <c r="H38" s="21" t="n">
        <f aca="false">-Schedules!H$29</f>
        <v>-21.2</v>
      </c>
    </row>
    <row r="39" customFormat="false" ht="15" hidden="false" customHeight="true" outlineLevel="0" collapsed="false">
      <c r="A39" s="4" t="s">
        <v>91</v>
      </c>
      <c r="B39" s="19" t="n">
        <f aca="false">B34+B37+B38</f>
        <v>1989.78</v>
      </c>
      <c r="C39" s="19" t="n">
        <f aca="false">C34+C37+C38</f>
        <v>1950.815</v>
      </c>
      <c r="D39" s="19" t="n">
        <f aca="false">D34+D37+D38</f>
        <v>2207.27486</v>
      </c>
      <c r="E39" s="19" t="n">
        <f aca="false">E34+E37+E38</f>
        <v>2496.3591179</v>
      </c>
      <c r="F39" s="19" t="n">
        <f aca="false">F34+F37+F38</f>
        <v>2780.238775717</v>
      </c>
      <c r="G39" s="19" t="n">
        <f aca="false">G34+G37+G38</f>
        <v>3020.82818927708</v>
      </c>
      <c r="H39" s="19" t="n">
        <f aca="false">H34+H37+H38</f>
        <v>3266.61838907242</v>
      </c>
    </row>
    <row r="40" customFormat="false" ht="15" hidden="false" customHeight="true" outlineLevel="0" collapsed="false">
      <c r="A40" s="10" t="s">
        <v>134</v>
      </c>
      <c r="B40" s="18" t="n">
        <f aca="false">-B39*Assumptions!B$26</f>
        <v>-515.35302</v>
      </c>
      <c r="C40" s="18" t="n">
        <f aca="false">-C39*Assumptions!C$26</f>
        <v>-456.49071</v>
      </c>
      <c r="D40" s="18" t="n">
        <f aca="false">-D39*Assumptions!D$26</f>
        <v>-556.23326472</v>
      </c>
      <c r="E40" s="18" t="n">
        <f aca="false">-E39*Assumptions!E$26</f>
        <v>-629.0824977108</v>
      </c>
      <c r="F40" s="18" t="n">
        <f aca="false">-F39*Assumptions!F$26</f>
        <v>-700.620171480684</v>
      </c>
      <c r="G40" s="18" t="n">
        <f aca="false">-G39*Assumptions!G$26</f>
        <v>-761.248703697825</v>
      </c>
      <c r="H40" s="18" t="n">
        <f aca="false">-H39*Assumptions!H$26</f>
        <v>-823.18783404625</v>
      </c>
    </row>
    <row r="41" customFormat="false" ht="15" hidden="false" customHeight="true" outlineLevel="0" collapsed="false">
      <c r="A41" s="4" t="s">
        <v>135</v>
      </c>
      <c r="B41" s="22" t="n">
        <f aca="false">B39+B40</f>
        <v>1474.42698</v>
      </c>
      <c r="C41" s="22" t="n">
        <f aca="false">C39+C40</f>
        <v>1494.32429</v>
      </c>
      <c r="D41" s="22" t="n">
        <f aca="false">D39+D40</f>
        <v>1651.04159528</v>
      </c>
      <c r="E41" s="22" t="n">
        <f aca="false">E39+E40</f>
        <v>1867.2766201892</v>
      </c>
      <c r="F41" s="22" t="n">
        <f aca="false">F39+F40</f>
        <v>2079.61860423632</v>
      </c>
      <c r="G41" s="22" t="n">
        <f aca="false">G39+G40</f>
        <v>2259.57948557926</v>
      </c>
      <c r="H41" s="22" t="n">
        <f aca="false">H39+H40</f>
        <v>2443.43055502617</v>
      </c>
    </row>
    <row r="42" customFormat="false" ht="15" hidden="false" customHeight="true" outlineLevel="0" collapsed="false">
      <c r="A42" s="6" t="s">
        <v>136</v>
      </c>
      <c r="B42" s="20" t="n">
        <f aca="false">B41/B15</f>
        <v>0.0678053336399173</v>
      </c>
      <c r="C42" s="20" t="n">
        <f aca="false">C41/C15</f>
        <v>0.0665149243300988</v>
      </c>
      <c r="D42" s="20" t="n">
        <f aca="false">D41/D15</f>
        <v>0.0657086523610343</v>
      </c>
      <c r="E42" s="20" t="n">
        <f aca="false">E41/E15</f>
        <v>0.0663298122958327</v>
      </c>
      <c r="F42" s="20" t="n">
        <f aca="false">F41/F15</f>
        <v>0.0664192464993115</v>
      </c>
      <c r="G42" s="20" t="n">
        <f aca="false">G41/G15</f>
        <v>0.0656112648911277</v>
      </c>
      <c r="H42" s="20" t="n">
        <f aca="false">H41/H15</f>
        <v>0.0649942413237745</v>
      </c>
    </row>
    <row r="44" customFormat="false" ht="15" hidden="false" customHeight="true" outlineLevel="0" collapsed="false">
      <c r="A44" s="10" t="s">
        <v>137</v>
      </c>
      <c r="B44" s="18" t="n">
        <f aca="false">-B41*Assumptions!B$32</f>
        <v>-620.73375858</v>
      </c>
      <c r="C44" s="18" t="n">
        <f aca="false">-C41*Assumptions!C$32</f>
        <v>-549.91133872</v>
      </c>
      <c r="D44" s="18" t="n">
        <f aca="false">-D41*Assumptions!D$32</f>
        <v>-610.8853902536</v>
      </c>
      <c r="E44" s="18" t="n">
        <f aca="false">-E41*Assumptions!E$32</f>
        <v>-690.892349470004</v>
      </c>
      <c r="F44" s="18" t="n">
        <f aca="false">-F41*Assumptions!F$32</f>
        <v>-769.458883567437</v>
      </c>
      <c r="G44" s="18" t="n">
        <f aca="false">-G41*Assumptions!G$32</f>
        <v>-836.044409664325</v>
      </c>
      <c r="H44" s="18" t="n">
        <f aca="false">-H41*Assumptions!H$32</f>
        <v>-904.069305359683</v>
      </c>
    </row>
    <row r="45" customFormat="false" ht="15" hidden="false" customHeight="true" outlineLevel="0" collapsed="false">
      <c r="A45" s="10" t="s">
        <v>138</v>
      </c>
      <c r="B45" s="18" t="n">
        <f aca="false">B41+B44</f>
        <v>853.69322142</v>
      </c>
      <c r="C45" s="18" t="n">
        <f aca="false">C41+C44</f>
        <v>944.41295128</v>
      </c>
      <c r="D45" s="18" t="n">
        <f aca="false">D41+D44</f>
        <v>1040.1562050264</v>
      </c>
      <c r="E45" s="18" t="n">
        <f aca="false">E41+E44</f>
        <v>1176.3842707192</v>
      </c>
      <c r="F45" s="18" t="n">
        <f aca="false">F41+F44</f>
        <v>1310.15972066888</v>
      </c>
      <c r="G45" s="18" t="n">
        <f aca="false">G41+G44</f>
        <v>1423.53507591493</v>
      </c>
      <c r="H45" s="18" t="n">
        <f aca="false">H41+H44</f>
        <v>1539.36124966649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3" min="2" style="1" width="13"/>
  </cols>
  <sheetData>
    <row r="1" customFormat="false" ht="15.75" hidden="false" customHeight="true" outlineLevel="0" collapsed="false">
      <c r="A1" s="2" t="s">
        <v>139</v>
      </c>
    </row>
    <row r="2" customFormat="false" ht="15" hidden="false" customHeight="true" outlineLevel="0" collapsed="false">
      <c r="A2" s="3" t="s">
        <v>140</v>
      </c>
    </row>
    <row r="4" customFormat="false" ht="15" hidden="false" customHeight="true" outlineLevel="0" collapsed="false">
      <c r="A4" s="7" t="s">
        <v>36</v>
      </c>
      <c r="B4" s="8" t="s">
        <v>37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</row>
    <row r="6" customFormat="false" ht="15" hidden="false" customHeight="true" outlineLevel="0" collapsed="false">
      <c r="A6" s="9" t="s">
        <v>141</v>
      </c>
    </row>
    <row r="7" customFormat="false" ht="15" hidden="false" customHeight="true" outlineLevel="0" collapsed="false">
      <c r="A7" s="10" t="s">
        <v>142</v>
      </c>
      <c r="C7" s="14" t="n">
        <v>4745</v>
      </c>
      <c r="D7" s="18" t="n">
        <f aca="false">C11</f>
        <v>5761</v>
      </c>
      <c r="E7" s="18" t="n">
        <f aca="false">D11</f>
        <v>6514.801</v>
      </c>
      <c r="F7" s="18" t="n">
        <f aca="false">E11</f>
        <v>7190.4344344</v>
      </c>
      <c r="G7" s="18" t="n">
        <f aca="false">F11</f>
        <v>7754.023105594</v>
      </c>
      <c r="H7" s="18" t="n">
        <f aca="false">G11</f>
        <v>8305.04543124584</v>
      </c>
    </row>
    <row r="8" customFormat="false" ht="15" hidden="false" customHeight="true" outlineLevel="0" collapsed="false">
      <c r="A8" s="10" t="s">
        <v>129</v>
      </c>
      <c r="B8" s="14" t="n">
        <v>399</v>
      </c>
      <c r="C8" s="14" t="n">
        <v>429</v>
      </c>
      <c r="D8" s="18" t="n">
        <f aca="false">IS!D$15*Assumptions!D$28</f>
        <v>502.534</v>
      </c>
      <c r="E8" s="18" t="n">
        <f aca="false">IS!E$15*Assumptions!E$28</f>
        <v>591.1792551</v>
      </c>
      <c r="F8" s="18" t="n">
        <f aca="false">IS!F$15*Assumptions!F$28</f>
        <v>688.830598126</v>
      </c>
      <c r="G8" s="18" t="n">
        <f aca="false">IS!G$15*Assumptions!G$28</f>
        <v>757.65569777128</v>
      </c>
      <c r="H8" s="18" t="n">
        <f aca="false">IS!H$15*Assumptions!H$28</f>
        <v>864.675109993855</v>
      </c>
    </row>
    <row r="9" customFormat="false" ht="15" hidden="false" customHeight="true" outlineLevel="0" collapsed="false">
      <c r="A9" s="10" t="s">
        <v>143</v>
      </c>
      <c r="C9" s="14" t="n">
        <v>1484</v>
      </c>
      <c r="D9" s="18" t="n">
        <f aca="false">IS!D$15*Assumptions!D$27</f>
        <v>1256.335</v>
      </c>
      <c r="E9" s="18" t="n">
        <f aca="false">IS!E$15*Assumptions!E$27</f>
        <v>1266.8126895</v>
      </c>
      <c r="F9" s="18" t="n">
        <f aca="false">IS!F$15*Assumptions!F$27</f>
        <v>1252.41926932</v>
      </c>
      <c r="G9" s="18" t="n">
        <f aca="false">IS!G$15*Assumptions!G$27</f>
        <v>1308.67802342312</v>
      </c>
      <c r="H9" s="18" t="n">
        <f aca="false">IS!H$15*Assumptions!H$27</f>
        <v>1315.80994999065</v>
      </c>
    </row>
    <row r="10" customFormat="false" ht="15" hidden="false" customHeight="true" outlineLevel="0" collapsed="false">
      <c r="A10" s="10" t="s">
        <v>144</v>
      </c>
      <c r="C10" s="14" t="n">
        <v>-39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</row>
    <row r="11" customFormat="false" ht="15" hidden="false" customHeight="true" outlineLevel="0" collapsed="false">
      <c r="A11" s="4" t="s">
        <v>145</v>
      </c>
      <c r="C11" s="19" t="n">
        <f aca="false">C7-C8+C9+C10</f>
        <v>5761</v>
      </c>
      <c r="D11" s="19" t="n">
        <f aca="false">D7-D8+D9+D10</f>
        <v>6514.801</v>
      </c>
      <c r="E11" s="19" t="n">
        <f aca="false">E7-E8+E9+E10</f>
        <v>7190.4344344</v>
      </c>
      <c r="F11" s="19" t="n">
        <f aca="false">F7-F8+F9+F10</f>
        <v>7754.023105594</v>
      </c>
      <c r="G11" s="19" t="n">
        <f aca="false">G7-G8+G9+G10</f>
        <v>8305.04543124584</v>
      </c>
      <c r="H11" s="19" t="n">
        <f aca="false">H7-H8+H9+H10</f>
        <v>8756.18027124263</v>
      </c>
    </row>
    <row r="13" customFormat="false" ht="15" hidden="false" customHeight="true" outlineLevel="0" collapsed="false">
      <c r="A13" s="9" t="s">
        <v>146</v>
      </c>
      <c r="D13" s="3" t="s">
        <v>147</v>
      </c>
    </row>
    <row r="14" customFormat="false" ht="15" hidden="false" customHeight="true" outlineLevel="0" collapsed="false">
      <c r="A14" s="10" t="s">
        <v>100</v>
      </c>
      <c r="B14" s="14" t="n">
        <v>4007</v>
      </c>
      <c r="C14" s="14" t="n">
        <v>4398</v>
      </c>
      <c r="D14" s="18" t="n">
        <f aca="false">IS!D$15*Assumptions!D$29/365</f>
        <v>4887.6594520548</v>
      </c>
      <c r="E14" s="18" t="n">
        <f aca="false">IS!E$15*Assumptions!E$29/365</f>
        <v>5476.02441123288</v>
      </c>
      <c r="F14" s="18" t="n">
        <f aca="false">IS!F$15*Assumptions!F$29/365</f>
        <v>6090.53206313151</v>
      </c>
      <c r="G14" s="18" t="n">
        <f aca="false">IS!G$15*Assumptions!G$29/365</f>
        <v>6699.07279473984</v>
      </c>
      <c r="H14" s="18" t="n">
        <f aca="false">IS!H$15*Assumptions!H$29/365</f>
        <v>7312.91635611241</v>
      </c>
    </row>
    <row r="15" customFormat="false" ht="15" hidden="false" customHeight="true" outlineLevel="0" collapsed="false">
      <c r="A15" s="10" t="s">
        <v>101</v>
      </c>
      <c r="B15" s="14" t="n">
        <v>1254</v>
      </c>
      <c r="C15" s="14" t="n">
        <v>782</v>
      </c>
      <c r="D15" s="18" t="n">
        <f aca="false">IS!D$15*Assumptions!D$30/365</f>
        <v>1032.60410958904</v>
      </c>
      <c r="E15" s="18" t="n">
        <f aca="false">IS!E$15*Assumptions!E$30/365</f>
        <v>1156.90656575342</v>
      </c>
      <c r="F15" s="18" t="n">
        <f aca="false">IS!F$15*Assumptions!F$30/365</f>
        <v>1286.7321260137</v>
      </c>
      <c r="G15" s="18" t="n">
        <f aca="false">IS!G$15*Assumptions!G$30/365</f>
        <v>1415.29706931123</v>
      </c>
      <c r="H15" s="18" t="n">
        <f aca="false">IS!H$15*Assumptions!H$30/365</f>
        <v>1544.98232875614</v>
      </c>
    </row>
    <row r="16" customFormat="false" ht="15" hidden="false" customHeight="true" outlineLevel="0" collapsed="false">
      <c r="A16" s="10" t="s">
        <v>112</v>
      </c>
      <c r="B16" s="14" t="n">
        <v>3040</v>
      </c>
      <c r="C16" s="14" t="n">
        <v>2903</v>
      </c>
      <c r="D16" s="18" t="n">
        <f aca="false">IS!D$15*Assumptions!D$31/365</f>
        <v>3235.49287671233</v>
      </c>
      <c r="E16" s="18" t="n">
        <f aca="false">IS!E$15*Assumptions!E$31/365</f>
        <v>3624.9739060274</v>
      </c>
      <c r="F16" s="18" t="n">
        <f aca="false">IS!F$15*Assumptions!F$31/365</f>
        <v>4031.76066150959</v>
      </c>
      <c r="G16" s="18" t="n">
        <f aca="false">IS!G$15*Assumptions!G$31/365</f>
        <v>4434.59748384186</v>
      </c>
      <c r="H16" s="18" t="n">
        <f aca="false">IS!H$15*Assumptions!H$31/365</f>
        <v>4840.94463010258</v>
      </c>
    </row>
    <row r="17" customFormat="false" ht="15" hidden="false" customHeight="true" outlineLevel="0" collapsed="false">
      <c r="A17" s="4" t="s">
        <v>148</v>
      </c>
      <c r="B17" s="19" t="n">
        <f aca="false">B14+B15-B16</f>
        <v>2221</v>
      </c>
      <c r="C17" s="19" t="n">
        <f aca="false">C14+C15-C16</f>
        <v>2277</v>
      </c>
      <c r="D17" s="19" t="n">
        <f aca="false">D14+D15-D16</f>
        <v>2684.77068493151</v>
      </c>
      <c r="E17" s="19" t="n">
        <f aca="false">E14+E15-E16</f>
        <v>3007.9570709589</v>
      </c>
      <c r="F17" s="19" t="n">
        <f aca="false">F14+F15-F16</f>
        <v>3345.50352763562</v>
      </c>
      <c r="G17" s="19" t="n">
        <f aca="false">G14+G15-G16</f>
        <v>3679.77238020921</v>
      </c>
      <c r="H17" s="19" t="n">
        <f aca="false">H14+H15-H16</f>
        <v>4016.95405476597</v>
      </c>
    </row>
    <row r="18" customFormat="false" ht="15" hidden="false" customHeight="true" outlineLevel="0" collapsed="false">
      <c r="A18" s="10" t="s">
        <v>149</v>
      </c>
      <c r="C18" s="18" t="n">
        <f aca="false">C17-B17</f>
        <v>56</v>
      </c>
      <c r="D18" s="18" t="n">
        <f aca="false">D17-C17</f>
        <v>407.770684931508</v>
      </c>
      <c r="E18" s="18" t="n">
        <f aca="false">E17-D17</f>
        <v>323.186386027396</v>
      </c>
      <c r="F18" s="18" t="n">
        <f aca="false">F17-E17</f>
        <v>337.546456676713</v>
      </c>
      <c r="G18" s="18" t="n">
        <f aca="false">G17-F17</f>
        <v>334.26885257359</v>
      </c>
      <c r="H18" s="18" t="n">
        <f aca="false">H17-G17</f>
        <v>337.181674556765</v>
      </c>
    </row>
    <row r="19" customFormat="false" ht="15" hidden="false" customHeight="true" outlineLevel="0" collapsed="false">
      <c r="A19" s="6" t="s">
        <v>150</v>
      </c>
      <c r="B19" s="23" t="n">
        <f aca="false">B17/IS!B$15*365</f>
        <v>37.2805242584502</v>
      </c>
      <c r="C19" s="23" t="n">
        <f aca="false">C17/IS!C$15*365</f>
        <v>36.9939018961987</v>
      </c>
      <c r="D19" s="23" t="n">
        <f aca="false">D17/IS!D$15*365</f>
        <v>39</v>
      </c>
      <c r="E19" s="23" t="n">
        <f aca="false">E17/IS!E$15*365</f>
        <v>39</v>
      </c>
      <c r="F19" s="23" t="n">
        <f aca="false">F17/IS!F$15*365</f>
        <v>39</v>
      </c>
      <c r="G19" s="23" t="n">
        <f aca="false">G17/IS!G$15*365</f>
        <v>39</v>
      </c>
      <c r="H19" s="23" t="n">
        <f aca="false">H17/IS!H$15*365</f>
        <v>39</v>
      </c>
    </row>
    <row r="22" customFormat="false" ht="15" hidden="false" customHeight="true" outlineLevel="0" collapsed="false">
      <c r="A22" s="9" t="s">
        <v>151</v>
      </c>
    </row>
    <row r="23" customFormat="false" ht="15" hidden="false" customHeight="true" outlineLevel="0" collapsed="false">
      <c r="A23" s="3" t="s">
        <v>152</v>
      </c>
    </row>
    <row r="24" customFormat="false" ht="15" hidden="false" customHeight="true" outlineLevel="0" collapsed="false">
      <c r="A24" s="3" t="s">
        <v>153</v>
      </c>
    </row>
    <row r="25" customFormat="false" ht="15" hidden="false" customHeight="true" outlineLevel="0" collapsed="false">
      <c r="A25" s="10" t="s">
        <v>154</v>
      </c>
      <c r="C25" s="14" t="n">
        <v>319</v>
      </c>
      <c r="D25" s="18" t="n">
        <f aca="false">C28</f>
        <v>265</v>
      </c>
      <c r="E25" s="18" t="n">
        <f aca="false">D28</f>
        <v>265</v>
      </c>
      <c r="F25" s="18" t="n">
        <f aca="false">E28</f>
        <v>265</v>
      </c>
      <c r="G25" s="18" t="n">
        <f aca="false">F28</f>
        <v>265</v>
      </c>
      <c r="H25" s="18" t="n">
        <f aca="false">G28</f>
        <v>265</v>
      </c>
    </row>
    <row r="26" customFormat="false" ht="15" hidden="false" customHeight="true" outlineLevel="0" collapsed="false">
      <c r="A26" s="10" t="s">
        <v>155</v>
      </c>
      <c r="C26" s="14" t="n">
        <v>37</v>
      </c>
      <c r="D26" s="18" t="n">
        <f aca="false">D25*Assumptions!D$33</f>
        <v>21.2</v>
      </c>
      <c r="E26" s="18" t="n">
        <f aca="false">E25*Assumptions!E$33</f>
        <v>21.2</v>
      </c>
      <c r="F26" s="18" t="n">
        <f aca="false">F25*Assumptions!F$33</f>
        <v>21.2</v>
      </c>
      <c r="G26" s="18" t="n">
        <f aca="false">G25*Assumptions!G$33</f>
        <v>21.2</v>
      </c>
      <c r="H26" s="18" t="n">
        <f aca="false">H25*Assumptions!H$33</f>
        <v>21.2</v>
      </c>
    </row>
    <row r="27" customFormat="false" ht="15" hidden="false" customHeight="true" outlineLevel="0" collapsed="false">
      <c r="A27" s="10" t="s">
        <v>156</v>
      </c>
      <c r="C27" s="14" t="n">
        <v>91</v>
      </c>
      <c r="D27" s="18" t="n">
        <f aca="false">D26</f>
        <v>21.2</v>
      </c>
      <c r="E27" s="18" t="n">
        <f aca="false">E26</f>
        <v>21.2</v>
      </c>
      <c r="F27" s="18" t="n">
        <f aca="false">F26</f>
        <v>21.2</v>
      </c>
      <c r="G27" s="18" t="n">
        <f aca="false">G26</f>
        <v>21.2</v>
      </c>
      <c r="H27" s="18" t="n">
        <f aca="false">H26</f>
        <v>21.2</v>
      </c>
    </row>
    <row r="28" customFormat="false" ht="15" hidden="false" customHeight="true" outlineLevel="0" collapsed="false">
      <c r="A28" s="4" t="s">
        <v>157</v>
      </c>
      <c r="C28" s="14" t="n">
        <v>265</v>
      </c>
      <c r="D28" s="19" t="n">
        <f aca="false">D25+D26-D27</f>
        <v>265</v>
      </c>
      <c r="E28" s="19" t="n">
        <f aca="false">E25+E26-E27</f>
        <v>265</v>
      </c>
      <c r="F28" s="19" t="n">
        <f aca="false">F25+F26-F27</f>
        <v>265</v>
      </c>
      <c r="G28" s="19" t="n">
        <f aca="false">G25+G26-G27</f>
        <v>265</v>
      </c>
      <c r="H28" s="19" t="n">
        <f aca="false">H25+H26-H27</f>
        <v>265</v>
      </c>
    </row>
    <row r="29" customFormat="false" ht="15" hidden="false" customHeight="true" outlineLevel="0" collapsed="false">
      <c r="A29" s="10" t="s">
        <v>158</v>
      </c>
      <c r="C29" s="18" t="n">
        <f aca="false">C26</f>
        <v>37</v>
      </c>
      <c r="D29" s="18" t="n">
        <f aca="false">D26</f>
        <v>21.2</v>
      </c>
      <c r="E29" s="18" t="n">
        <f aca="false">E26</f>
        <v>21.2</v>
      </c>
      <c r="F29" s="18" t="n">
        <f aca="false">F26</f>
        <v>21.2</v>
      </c>
      <c r="G29" s="18" t="n">
        <f aca="false">G26</f>
        <v>21.2</v>
      </c>
      <c r="H29" s="18" t="n">
        <f aca="false">H26</f>
        <v>21.2</v>
      </c>
    </row>
    <row r="30" customFormat="false" ht="15" hidden="false" customHeight="true" outlineLevel="0" collapsed="false">
      <c r="A30" s="10" t="s">
        <v>159</v>
      </c>
      <c r="C30" s="14" t="n">
        <v>188</v>
      </c>
      <c r="D30" s="18" t="n">
        <f aca="false">D28*0.7</f>
        <v>185.5</v>
      </c>
      <c r="E30" s="18" t="n">
        <f aca="false">E28*0.7</f>
        <v>185.5</v>
      </c>
      <c r="F30" s="18" t="n">
        <f aca="false">F28*0.7</f>
        <v>185.5</v>
      </c>
      <c r="G30" s="18" t="n">
        <f aca="false">G28*0.7</f>
        <v>185.5</v>
      </c>
      <c r="H30" s="18" t="n">
        <f aca="false">H28*0.7</f>
        <v>185.5</v>
      </c>
    </row>
    <row r="31" customFormat="false" ht="15" hidden="false" customHeight="true" outlineLevel="0" collapsed="false">
      <c r="A31" s="10" t="s">
        <v>160</v>
      </c>
      <c r="C31" s="14" t="n">
        <v>77</v>
      </c>
      <c r="D31" s="18" t="n">
        <f aca="false">D28*0.3</f>
        <v>79.5</v>
      </c>
      <c r="E31" s="18" t="n">
        <f aca="false">E28*0.3</f>
        <v>79.5</v>
      </c>
      <c r="F31" s="18" t="n">
        <f aca="false">F28*0.3</f>
        <v>79.5</v>
      </c>
      <c r="G31" s="18" t="n">
        <f aca="false">G28*0.3</f>
        <v>79.5</v>
      </c>
      <c r="H31" s="18" t="n">
        <f aca="false">H28*0.3</f>
        <v>79.5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3" min="2" style="1" width="13"/>
  </cols>
  <sheetData>
    <row r="1" customFormat="false" ht="15.75" hidden="false" customHeight="true" outlineLevel="0" collapsed="false">
      <c r="A1" s="2" t="s">
        <v>161</v>
      </c>
    </row>
    <row r="2" customFormat="false" ht="15" hidden="false" customHeight="true" outlineLevel="0" collapsed="false">
      <c r="A2" s="3" t="s">
        <v>162</v>
      </c>
    </row>
    <row r="4" customFormat="false" ht="15" hidden="false" customHeight="true" outlineLevel="0" collapsed="false">
      <c r="A4" s="7" t="s">
        <v>36</v>
      </c>
      <c r="B4" s="8" t="s">
        <v>37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</row>
    <row r="6" customFormat="false" ht="15" hidden="false" customHeight="true" outlineLevel="0" collapsed="false">
      <c r="A6" s="9" t="s">
        <v>163</v>
      </c>
    </row>
    <row r="7" customFormat="false" ht="15" hidden="false" customHeight="true" outlineLevel="0" collapsed="false">
      <c r="A7" s="6" t="s">
        <v>93</v>
      </c>
      <c r="D7" s="18" t="n">
        <f aca="false">IS!D$41</f>
        <v>1651.04159528</v>
      </c>
      <c r="E7" s="18" t="n">
        <f aca="false">IS!E$41</f>
        <v>1867.2766201892</v>
      </c>
      <c r="F7" s="18" t="n">
        <f aca="false">IS!F$41</f>
        <v>2079.61860423632</v>
      </c>
      <c r="G7" s="18" t="n">
        <f aca="false">IS!G$41</f>
        <v>2259.57948557926</v>
      </c>
      <c r="H7" s="18" t="n">
        <f aca="false">IS!H$41</f>
        <v>2443.43055502617</v>
      </c>
    </row>
    <row r="8" customFormat="false" ht="15" hidden="false" customHeight="true" outlineLevel="0" collapsed="false">
      <c r="A8" s="6" t="s">
        <v>164</v>
      </c>
      <c r="D8" s="18" t="n">
        <f aca="false">Schedules!D$8</f>
        <v>502.534</v>
      </c>
      <c r="E8" s="18" t="n">
        <f aca="false">Schedules!E$8</f>
        <v>591.1792551</v>
      </c>
      <c r="F8" s="18" t="n">
        <f aca="false">Schedules!F$8</f>
        <v>688.830598126</v>
      </c>
      <c r="G8" s="18" t="n">
        <f aca="false">Schedules!G$8</f>
        <v>757.65569777128</v>
      </c>
      <c r="H8" s="18" t="n">
        <f aca="false">Schedules!H$8</f>
        <v>864.675109993855</v>
      </c>
    </row>
    <row r="9" customFormat="false" ht="15" hidden="false" customHeight="true" outlineLevel="0" collapsed="false">
      <c r="A9" s="6" t="s">
        <v>165</v>
      </c>
      <c r="D9" s="18" t="n">
        <f aca="false">-Schedules!D$18</f>
        <v>-407.770684931508</v>
      </c>
      <c r="E9" s="18" t="n">
        <f aca="false">-Schedules!E$18</f>
        <v>-323.186386027396</v>
      </c>
      <c r="F9" s="18" t="n">
        <f aca="false">-Schedules!F$18</f>
        <v>-337.546456676713</v>
      </c>
      <c r="G9" s="18" t="n">
        <f aca="false">-Schedules!G$18</f>
        <v>-334.26885257359</v>
      </c>
      <c r="H9" s="18" t="n">
        <f aca="false">-Schedules!H$18</f>
        <v>-337.181674556765</v>
      </c>
    </row>
    <row r="10" customFormat="false" ht="15" hidden="false" customHeight="true" outlineLevel="0" collapsed="false">
      <c r="A10" s="4" t="s">
        <v>166</v>
      </c>
      <c r="D10" s="19" t="n">
        <f aca="false">SUM(D7:D9)</f>
        <v>1745.80491034849</v>
      </c>
      <c r="E10" s="19" t="n">
        <f aca="false">SUM(E7:E9)</f>
        <v>2135.26948926181</v>
      </c>
      <c r="F10" s="19" t="n">
        <f aca="false">SUM(F7:F9)</f>
        <v>2430.9027456856</v>
      </c>
      <c r="G10" s="19" t="n">
        <f aca="false">SUM(G7:G9)</f>
        <v>2682.96633077695</v>
      </c>
      <c r="H10" s="19" t="n">
        <f aca="false">SUM(H7:H9)</f>
        <v>2970.92399046326</v>
      </c>
    </row>
    <row r="12" customFormat="false" ht="15" hidden="false" customHeight="true" outlineLevel="0" collapsed="false">
      <c r="A12" s="9" t="s">
        <v>167</v>
      </c>
    </row>
    <row r="13" customFormat="false" ht="15" hidden="false" customHeight="true" outlineLevel="0" collapsed="false">
      <c r="A13" s="6" t="s">
        <v>118</v>
      </c>
      <c r="D13" s="18" t="n">
        <f aca="false">-Schedules!D$9</f>
        <v>-1256.335</v>
      </c>
      <c r="E13" s="18" t="n">
        <f aca="false">-Schedules!E$9</f>
        <v>-1266.8126895</v>
      </c>
      <c r="F13" s="18" t="n">
        <f aca="false">-Schedules!F$9</f>
        <v>-1252.41926932</v>
      </c>
      <c r="G13" s="18" t="n">
        <f aca="false">-Schedules!G$9</f>
        <v>-1308.67802342312</v>
      </c>
      <c r="H13" s="18" t="n">
        <f aca="false">-Schedules!H$9</f>
        <v>-1315.80994999065</v>
      </c>
    </row>
    <row r="14" customFormat="false" ht="15" hidden="false" customHeight="true" outlineLevel="0" collapsed="false">
      <c r="A14" s="6" t="s">
        <v>168</v>
      </c>
      <c r="D14" s="18" t="n">
        <f aca="false">-Schedules!D$10</f>
        <v>-0</v>
      </c>
      <c r="E14" s="18" t="n">
        <f aca="false">-Schedules!E$10</f>
        <v>-0</v>
      </c>
      <c r="F14" s="18" t="n">
        <f aca="false">-Schedules!F$10</f>
        <v>-0</v>
      </c>
      <c r="G14" s="18" t="n">
        <f aca="false">-Schedules!G$10</f>
        <v>-0</v>
      </c>
      <c r="H14" s="18" t="n">
        <f aca="false">-Schedules!H$10</f>
        <v>-0</v>
      </c>
    </row>
    <row r="15" customFormat="false" ht="15" hidden="false" customHeight="true" outlineLevel="0" collapsed="false">
      <c r="A15" s="4" t="s">
        <v>169</v>
      </c>
      <c r="D15" s="19" t="n">
        <f aca="false">SUM(D13:D14)</f>
        <v>-1256.335</v>
      </c>
      <c r="E15" s="19" t="n">
        <f aca="false">SUM(E13:E14)</f>
        <v>-1266.8126895</v>
      </c>
      <c r="F15" s="19" t="n">
        <f aca="false">SUM(F13:F14)</f>
        <v>-1252.41926932</v>
      </c>
      <c r="G15" s="19" t="n">
        <f aca="false">SUM(G13:G14)</f>
        <v>-1308.67802342312</v>
      </c>
      <c r="H15" s="19" t="n">
        <f aca="false">SUM(H13:H14)</f>
        <v>-1315.80994999065</v>
      </c>
    </row>
    <row r="17" customFormat="false" ht="15" hidden="false" customHeight="true" outlineLevel="0" collapsed="false">
      <c r="A17" s="9" t="s">
        <v>170</v>
      </c>
    </row>
    <row r="18" customFormat="false" ht="15" hidden="false" customHeight="true" outlineLevel="0" collapsed="false">
      <c r="A18" s="6" t="s">
        <v>119</v>
      </c>
      <c r="D18" s="18" t="n">
        <f aca="false">IS!D$44</f>
        <v>-610.8853902536</v>
      </c>
      <c r="E18" s="18" t="n">
        <f aca="false">IS!E$44</f>
        <v>-690.892349470004</v>
      </c>
      <c r="F18" s="18" t="n">
        <f aca="false">IS!F$44</f>
        <v>-769.458883567437</v>
      </c>
      <c r="G18" s="18" t="n">
        <f aca="false">IS!G$44</f>
        <v>-836.044409664325</v>
      </c>
      <c r="H18" s="18" t="n">
        <f aca="false">IS!H$44</f>
        <v>-904.069305359683</v>
      </c>
    </row>
    <row r="19" customFormat="false" ht="15" hidden="false" customHeight="true" outlineLevel="0" collapsed="false">
      <c r="A19" s="4" t="s">
        <v>171</v>
      </c>
      <c r="D19" s="19" t="n">
        <f aca="false">D18</f>
        <v>-610.8853902536</v>
      </c>
      <c r="E19" s="19" t="n">
        <f aca="false">E18</f>
        <v>-690.892349470004</v>
      </c>
      <c r="F19" s="19" t="n">
        <f aca="false">F18</f>
        <v>-769.458883567437</v>
      </c>
      <c r="G19" s="19" t="n">
        <f aca="false">G18</f>
        <v>-836.044409664325</v>
      </c>
      <c r="H19" s="19" t="n">
        <f aca="false">H18</f>
        <v>-904.069305359683</v>
      </c>
    </row>
    <row r="21" customFormat="false" ht="15" hidden="false" customHeight="true" outlineLevel="0" collapsed="false">
      <c r="A21" s="4" t="s">
        <v>172</v>
      </c>
      <c r="D21" s="19" t="n">
        <f aca="false">D10+D15+D19</f>
        <v>-121.415479905108</v>
      </c>
      <c r="E21" s="19" t="n">
        <f aca="false">E10+E15+E19</f>
        <v>177.564450291801</v>
      </c>
      <c r="F21" s="19" t="n">
        <f aca="false">F10+F15+F19</f>
        <v>409.024592798166</v>
      </c>
      <c r="G21" s="19" t="n">
        <f aca="false">G10+G15+G19</f>
        <v>538.243897689502</v>
      </c>
      <c r="H21" s="19" t="n">
        <f aca="false">H10+H15+H19</f>
        <v>751.044735112928</v>
      </c>
    </row>
    <row r="22" customFormat="false" ht="15" hidden="false" customHeight="true" outlineLevel="0" collapsed="false">
      <c r="A22" s="6" t="s">
        <v>173</v>
      </c>
      <c r="D22" s="18" t="n">
        <f aca="false">C23</f>
        <v>2351</v>
      </c>
      <c r="E22" s="18" t="n">
        <f aca="false">D23</f>
        <v>2229.58452009489</v>
      </c>
      <c r="F22" s="18" t="n">
        <f aca="false">E23</f>
        <v>2407.14897038669</v>
      </c>
      <c r="G22" s="18" t="n">
        <f aca="false">F23</f>
        <v>2816.17356318486</v>
      </c>
      <c r="H22" s="18" t="n">
        <f aca="false">G23</f>
        <v>3354.41746087436</v>
      </c>
    </row>
    <row r="23" customFormat="false" ht="15" hidden="false" customHeight="true" outlineLevel="0" collapsed="false">
      <c r="A23" s="4" t="s">
        <v>174</v>
      </c>
      <c r="C23" s="14" t="n">
        <v>2351</v>
      </c>
      <c r="D23" s="19" t="n">
        <f aca="false">D21+D22</f>
        <v>2229.58452009489</v>
      </c>
      <c r="E23" s="19" t="n">
        <f aca="false">E21+E22</f>
        <v>2407.14897038669</v>
      </c>
      <c r="F23" s="19" t="n">
        <f aca="false">F21+F22</f>
        <v>2816.17356318486</v>
      </c>
      <c r="G23" s="19" t="n">
        <f aca="false">G21+G22</f>
        <v>3354.41746087436</v>
      </c>
      <c r="H23" s="19" t="n">
        <f aca="false">H21+H22</f>
        <v>4105.46219598729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3" min="2" style="1" width="13"/>
  </cols>
  <sheetData>
    <row r="1" customFormat="false" ht="15.75" hidden="false" customHeight="true" outlineLevel="0" collapsed="false">
      <c r="A1" s="2" t="s">
        <v>96</v>
      </c>
    </row>
    <row r="2" customFormat="false" ht="15" hidden="false" customHeight="true" outlineLevel="0" collapsed="false">
      <c r="A2" s="3" t="s">
        <v>175</v>
      </c>
    </row>
    <row r="4" customFormat="false" ht="15" hidden="false" customHeight="true" outlineLevel="0" collapsed="false">
      <c r="A4" s="7" t="s">
        <v>36</v>
      </c>
      <c r="B4" s="8" t="s">
        <v>37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</row>
    <row r="6" customFormat="false" ht="15" hidden="false" customHeight="true" outlineLevel="0" collapsed="false">
      <c r="A6" s="9" t="s">
        <v>176</v>
      </c>
    </row>
    <row r="7" customFormat="false" ht="15" hidden="false" customHeight="true" outlineLevel="0" collapsed="false">
      <c r="A7" s="10" t="s">
        <v>97</v>
      </c>
      <c r="B7" s="14" t="n">
        <v>4745</v>
      </c>
      <c r="C7" s="14" t="n">
        <v>5761</v>
      </c>
      <c r="D7" s="21" t="n">
        <f aca="false">Schedules!D$11</f>
        <v>6514.801</v>
      </c>
      <c r="E7" s="21" t="n">
        <f aca="false">Schedules!E$11</f>
        <v>7190.4344344</v>
      </c>
      <c r="F7" s="21" t="n">
        <f aca="false">Schedules!F$11</f>
        <v>7754.023105594</v>
      </c>
      <c r="G7" s="21" t="n">
        <f aca="false">Schedules!G$11</f>
        <v>8305.04543124584</v>
      </c>
      <c r="H7" s="21" t="n">
        <f aca="false">Schedules!H$11</f>
        <v>8756.18027124263</v>
      </c>
    </row>
    <row r="8" customFormat="false" ht="15" hidden="false" customHeight="true" outlineLevel="0" collapsed="false">
      <c r="A8" s="10" t="s">
        <v>98</v>
      </c>
      <c r="B8" s="14" t="n">
        <v>74</v>
      </c>
      <c r="C8" s="14" t="n">
        <v>956</v>
      </c>
      <c r="D8" s="18" t="n">
        <f aca="false">C8</f>
        <v>956</v>
      </c>
      <c r="E8" s="18" t="n">
        <f aca="false">C8</f>
        <v>956</v>
      </c>
      <c r="F8" s="18" t="n">
        <f aca="false">C8</f>
        <v>956</v>
      </c>
      <c r="G8" s="18" t="n">
        <f aca="false">C8</f>
        <v>956</v>
      </c>
      <c r="H8" s="18" t="n">
        <f aca="false">C8</f>
        <v>956</v>
      </c>
    </row>
    <row r="9" customFormat="false" ht="15" hidden="false" customHeight="true" outlineLevel="0" collapsed="false">
      <c r="A9" s="10" t="s">
        <v>99</v>
      </c>
      <c r="B9" s="14" t="n">
        <v>158</v>
      </c>
      <c r="C9" s="14" t="n">
        <v>247</v>
      </c>
      <c r="D9" s="18" t="n">
        <f aca="false">C9</f>
        <v>247</v>
      </c>
      <c r="E9" s="18" t="n">
        <f aca="false">C9</f>
        <v>247</v>
      </c>
      <c r="F9" s="18" t="n">
        <f aca="false">C9</f>
        <v>247</v>
      </c>
      <c r="G9" s="18" t="n">
        <f aca="false">C9</f>
        <v>247</v>
      </c>
      <c r="H9" s="18" t="n">
        <f aca="false">C9</f>
        <v>247</v>
      </c>
    </row>
    <row r="10" customFormat="false" ht="15" hidden="false" customHeight="true" outlineLevel="0" collapsed="false">
      <c r="A10" s="10" t="s">
        <v>100</v>
      </c>
      <c r="B10" s="14" t="n">
        <v>4007</v>
      </c>
      <c r="C10" s="14" t="n">
        <v>4398</v>
      </c>
      <c r="D10" s="21" t="n">
        <f aca="false">Schedules!D$14</f>
        <v>4887.6594520548</v>
      </c>
      <c r="E10" s="21" t="n">
        <f aca="false">Schedules!E$14</f>
        <v>5476.02441123288</v>
      </c>
      <c r="F10" s="21" t="n">
        <f aca="false">Schedules!F$14</f>
        <v>6090.53206313151</v>
      </c>
      <c r="G10" s="21" t="n">
        <f aca="false">Schedules!G$14</f>
        <v>6699.07279473984</v>
      </c>
      <c r="H10" s="21" t="n">
        <f aca="false">Schedules!H$14</f>
        <v>7312.91635611241</v>
      </c>
    </row>
    <row r="11" customFormat="false" ht="15" hidden="false" customHeight="true" outlineLevel="0" collapsed="false">
      <c r="A11" s="10" t="s">
        <v>101</v>
      </c>
      <c r="B11" s="14" t="n">
        <v>1254</v>
      </c>
      <c r="C11" s="14" t="n">
        <v>782</v>
      </c>
      <c r="D11" s="21" t="n">
        <f aca="false">Schedules!D$15</f>
        <v>1032.60410958904</v>
      </c>
      <c r="E11" s="21" t="n">
        <f aca="false">Schedules!E$15</f>
        <v>1156.90656575342</v>
      </c>
      <c r="F11" s="21" t="n">
        <f aca="false">Schedules!F$15</f>
        <v>1286.7321260137</v>
      </c>
      <c r="G11" s="21" t="n">
        <f aca="false">Schedules!G$15</f>
        <v>1415.29706931123</v>
      </c>
      <c r="H11" s="21" t="n">
        <f aca="false">Schedules!H$15</f>
        <v>1544.98232875614</v>
      </c>
    </row>
    <row r="12" customFormat="false" ht="15" hidden="false" customHeight="true" outlineLevel="0" collapsed="false">
      <c r="A12" s="10" t="s">
        <v>102</v>
      </c>
      <c r="B12" s="14" t="n">
        <v>3353</v>
      </c>
      <c r="C12" s="14" t="n">
        <v>2351</v>
      </c>
      <c r="D12" s="21" t="n">
        <f aca="false">CFS!D$23</f>
        <v>2229.58452009489</v>
      </c>
      <c r="E12" s="21" t="n">
        <f aca="false">CFS!E$23</f>
        <v>2407.14897038669</v>
      </c>
      <c r="F12" s="21" t="n">
        <f aca="false">CFS!F$23</f>
        <v>2816.17356318486</v>
      </c>
      <c r="G12" s="21" t="n">
        <f aca="false">CFS!G$23</f>
        <v>3354.41746087436</v>
      </c>
      <c r="H12" s="21" t="n">
        <f aca="false">CFS!H$23</f>
        <v>4105.46219598729</v>
      </c>
    </row>
    <row r="13" customFormat="false" ht="15" hidden="false" customHeight="true" outlineLevel="0" collapsed="false">
      <c r="A13" s="10" t="s">
        <v>103</v>
      </c>
      <c r="B13" s="14" t="n">
        <v>6</v>
      </c>
      <c r="C13" s="14" t="n">
        <v>9</v>
      </c>
      <c r="D13" s="18" t="n">
        <f aca="false">C13</f>
        <v>9</v>
      </c>
      <c r="E13" s="18" t="n">
        <f aca="false">C13</f>
        <v>9</v>
      </c>
      <c r="F13" s="18" t="n">
        <f aca="false">C13</f>
        <v>9</v>
      </c>
      <c r="G13" s="18" t="n">
        <f aca="false">C13</f>
        <v>9</v>
      </c>
      <c r="H13" s="18" t="n">
        <f aca="false">C13</f>
        <v>9</v>
      </c>
    </row>
    <row r="14" customFormat="false" ht="15" hidden="false" customHeight="true" outlineLevel="0" collapsed="false">
      <c r="A14" s="10" t="s">
        <v>104</v>
      </c>
      <c r="B14" s="14" t="n">
        <v>179</v>
      </c>
      <c r="C14" s="14" t="n">
        <v>221</v>
      </c>
      <c r="D14" s="18" t="n">
        <f aca="false">C14</f>
        <v>221</v>
      </c>
      <c r="E14" s="18" t="n">
        <f aca="false">C14</f>
        <v>221</v>
      </c>
      <c r="F14" s="18" t="n">
        <f aca="false">C14</f>
        <v>221</v>
      </c>
      <c r="G14" s="18" t="n">
        <f aca="false">C14</f>
        <v>221</v>
      </c>
      <c r="H14" s="18" t="n">
        <f aca="false">C14</f>
        <v>221</v>
      </c>
    </row>
    <row r="15" customFormat="false" ht="15" hidden="false" customHeight="true" outlineLevel="0" collapsed="false">
      <c r="A15" s="4" t="s">
        <v>177</v>
      </c>
      <c r="B15" s="19" t="n">
        <f aca="false">SUM(B7:B14)</f>
        <v>13776</v>
      </c>
      <c r="C15" s="19" t="n">
        <f aca="false">SUM(C7:C14)</f>
        <v>14725</v>
      </c>
      <c r="D15" s="19" t="n">
        <f aca="false">SUM(D7:D14)</f>
        <v>16097.6490817387</v>
      </c>
      <c r="E15" s="19" t="n">
        <f aca="false">SUM(E7:E14)</f>
        <v>17663.514381773</v>
      </c>
      <c r="F15" s="19" t="n">
        <f aca="false">SUM(F7:F14)</f>
        <v>19380.4608579241</v>
      </c>
      <c r="G15" s="19" t="n">
        <f aca="false">SUM(G7:G14)</f>
        <v>21206.8327561713</v>
      </c>
      <c r="H15" s="19" t="n">
        <f aca="false">SUM(H7:H14)</f>
        <v>23152.5411520985</v>
      </c>
    </row>
    <row r="17" customFormat="false" ht="15" hidden="false" customHeight="true" outlineLevel="0" collapsed="false">
      <c r="A17" s="9" t="s">
        <v>178</v>
      </c>
    </row>
    <row r="18" customFormat="false" ht="15" hidden="false" customHeight="true" outlineLevel="0" collapsed="false">
      <c r="A18" s="10" t="s">
        <v>106</v>
      </c>
      <c r="B18" s="14" t="n">
        <v>63</v>
      </c>
      <c r="C18" s="14" t="n">
        <v>63</v>
      </c>
      <c r="D18" s="18" t="n">
        <f aca="false">C18</f>
        <v>63</v>
      </c>
      <c r="E18" s="18" t="n">
        <f aca="false">C18</f>
        <v>63</v>
      </c>
      <c r="F18" s="18" t="n">
        <f aca="false">C18</f>
        <v>63</v>
      </c>
      <c r="G18" s="18" t="n">
        <f aca="false">C18</f>
        <v>63</v>
      </c>
      <c r="H18" s="18" t="n">
        <f aca="false">C18</f>
        <v>63</v>
      </c>
    </row>
    <row r="19" customFormat="false" ht="15" hidden="false" customHeight="true" outlineLevel="0" collapsed="false">
      <c r="A19" s="10" t="s">
        <v>107</v>
      </c>
      <c r="B19" s="14" t="n">
        <v>8268</v>
      </c>
      <c r="C19" s="14" t="n">
        <v>9414</v>
      </c>
      <c r="D19" s="18" t="n">
        <f aca="false">C19+IS!D$45</f>
        <v>10454.1562050264</v>
      </c>
      <c r="E19" s="18" t="n">
        <f aca="false">D19+IS!E$45</f>
        <v>11630.5404757456</v>
      </c>
      <c r="F19" s="18" t="n">
        <f aca="false">E19+IS!F$45</f>
        <v>12940.7001964145</v>
      </c>
      <c r="G19" s="18" t="n">
        <f aca="false">F19+IS!G$45</f>
        <v>14364.2352723294</v>
      </c>
      <c r="H19" s="18" t="n">
        <f aca="false">G19+IS!H$45</f>
        <v>15903.5965219959</v>
      </c>
    </row>
    <row r="20" customFormat="false" ht="15" hidden="false" customHeight="true" outlineLevel="0" collapsed="false">
      <c r="A20" s="10" t="s">
        <v>108</v>
      </c>
      <c r="B20" s="14" t="n">
        <v>241</v>
      </c>
      <c r="C20" s="14" t="n">
        <v>188</v>
      </c>
      <c r="D20" s="21" t="n">
        <f aca="false">Schedules!D$30</f>
        <v>185.5</v>
      </c>
      <c r="E20" s="21" t="n">
        <f aca="false">Schedules!E$30</f>
        <v>185.5</v>
      </c>
      <c r="F20" s="21" t="n">
        <f aca="false">Schedules!F$30</f>
        <v>185.5</v>
      </c>
      <c r="G20" s="21" t="n">
        <f aca="false">Schedules!G$30</f>
        <v>185.5</v>
      </c>
      <c r="H20" s="21" t="n">
        <f aca="false">Schedules!H$30</f>
        <v>185.5</v>
      </c>
    </row>
    <row r="21" customFormat="false" ht="15" hidden="false" customHeight="true" outlineLevel="0" collapsed="false">
      <c r="A21" s="10" t="s">
        <v>109</v>
      </c>
      <c r="B21" s="14" t="n">
        <v>375</v>
      </c>
      <c r="C21" s="14" t="n">
        <v>435</v>
      </c>
      <c r="D21" s="18" t="n">
        <f aca="false">C21</f>
        <v>435</v>
      </c>
      <c r="E21" s="18" t="n">
        <f aca="false">C21</f>
        <v>435</v>
      </c>
      <c r="F21" s="18" t="n">
        <f aca="false">C21</f>
        <v>435</v>
      </c>
      <c r="G21" s="18" t="n">
        <f aca="false">C21</f>
        <v>435</v>
      </c>
      <c r="H21" s="18" t="n">
        <f aca="false">C21</f>
        <v>435</v>
      </c>
    </row>
    <row r="22" customFormat="false" ht="15" hidden="false" customHeight="true" outlineLevel="0" collapsed="false">
      <c r="A22" s="10" t="s">
        <v>110</v>
      </c>
      <c r="B22" s="14" t="n">
        <v>67</v>
      </c>
      <c r="C22" s="14" t="n">
        <v>62</v>
      </c>
      <c r="D22" s="18" t="n">
        <f aca="false">C22</f>
        <v>62</v>
      </c>
      <c r="E22" s="18" t="n">
        <f aca="false">C22</f>
        <v>62</v>
      </c>
      <c r="F22" s="18" t="n">
        <f aca="false">C22</f>
        <v>62</v>
      </c>
      <c r="G22" s="18" t="n">
        <f aca="false">C22</f>
        <v>62</v>
      </c>
      <c r="H22" s="18" t="n">
        <f aca="false">C22</f>
        <v>62</v>
      </c>
    </row>
    <row r="23" customFormat="false" ht="15" hidden="false" customHeight="true" outlineLevel="0" collapsed="false">
      <c r="A23" s="10" t="s">
        <v>111</v>
      </c>
      <c r="B23" s="14" t="n">
        <v>78</v>
      </c>
      <c r="C23" s="14" t="n">
        <v>77</v>
      </c>
      <c r="D23" s="21" t="n">
        <f aca="false">Schedules!D$31</f>
        <v>79.5</v>
      </c>
      <c r="E23" s="21" t="n">
        <f aca="false">Schedules!E$31</f>
        <v>79.5</v>
      </c>
      <c r="F23" s="21" t="n">
        <f aca="false">Schedules!F$31</f>
        <v>79.5</v>
      </c>
      <c r="G23" s="21" t="n">
        <f aca="false">Schedules!G$31</f>
        <v>79.5</v>
      </c>
      <c r="H23" s="21" t="n">
        <f aca="false">Schedules!H$31</f>
        <v>79.5</v>
      </c>
    </row>
    <row r="24" customFormat="false" ht="15" hidden="false" customHeight="true" outlineLevel="0" collapsed="false">
      <c r="A24" s="10" t="s">
        <v>112</v>
      </c>
      <c r="B24" s="14" t="n">
        <v>3040</v>
      </c>
      <c r="C24" s="14" t="n">
        <v>2903</v>
      </c>
      <c r="D24" s="21" t="n">
        <f aca="false">Schedules!D$16</f>
        <v>3235.49287671233</v>
      </c>
      <c r="E24" s="21" t="n">
        <f aca="false">Schedules!E$16</f>
        <v>3624.9739060274</v>
      </c>
      <c r="F24" s="21" t="n">
        <f aca="false">Schedules!F$16</f>
        <v>4031.76066150959</v>
      </c>
      <c r="G24" s="21" t="n">
        <f aca="false">Schedules!G$16</f>
        <v>4434.59748384186</v>
      </c>
      <c r="H24" s="21" t="n">
        <f aca="false">Schedules!H$16</f>
        <v>4840.94463010258</v>
      </c>
    </row>
    <row r="25" customFormat="false" ht="15" hidden="false" customHeight="true" outlineLevel="0" collapsed="false">
      <c r="A25" s="10" t="s">
        <v>113</v>
      </c>
      <c r="B25" s="14" t="n">
        <v>865</v>
      </c>
      <c r="C25" s="14" t="n">
        <v>868</v>
      </c>
      <c r="D25" s="18" t="n">
        <f aca="false">C25</f>
        <v>868</v>
      </c>
      <c r="E25" s="18" t="n">
        <f aca="false">C25</f>
        <v>868</v>
      </c>
      <c r="F25" s="18" t="n">
        <f aca="false">C25</f>
        <v>868</v>
      </c>
      <c r="G25" s="18" t="n">
        <f aca="false">C25</f>
        <v>868</v>
      </c>
      <c r="H25" s="18" t="n">
        <f aca="false">C25</f>
        <v>868</v>
      </c>
    </row>
    <row r="26" customFormat="false" ht="15" hidden="false" customHeight="true" outlineLevel="0" collapsed="false">
      <c r="A26" s="10" t="s">
        <v>114</v>
      </c>
      <c r="B26" s="14" t="n">
        <v>778</v>
      </c>
      <c r="C26" s="14" t="n">
        <v>715</v>
      </c>
      <c r="D26" s="18" t="n">
        <f aca="false">C26</f>
        <v>715</v>
      </c>
      <c r="E26" s="18" t="n">
        <f aca="false">C26</f>
        <v>715</v>
      </c>
      <c r="F26" s="18" t="n">
        <f aca="false">C26</f>
        <v>715</v>
      </c>
      <c r="G26" s="18" t="n">
        <f aca="false">C26</f>
        <v>715</v>
      </c>
      <c r="H26" s="18" t="n">
        <f aca="false">C26</f>
        <v>715</v>
      </c>
    </row>
    <row r="27" customFormat="false" ht="15" hidden="false" customHeight="true" outlineLevel="0" collapsed="false">
      <c r="A27" s="4" t="s">
        <v>179</v>
      </c>
      <c r="B27" s="19" t="n">
        <f aca="false">SUM(B18:B26)</f>
        <v>13775</v>
      </c>
      <c r="C27" s="19" t="n">
        <f aca="false">SUM(C18:C26)</f>
        <v>14725</v>
      </c>
      <c r="D27" s="19" t="n">
        <f aca="false">SUM(D18:D26)</f>
        <v>16097.6490817387</v>
      </c>
      <c r="E27" s="19" t="n">
        <f aca="false">SUM(E18:E26)</f>
        <v>17663.514381773</v>
      </c>
      <c r="F27" s="19" t="n">
        <f aca="false">SUM(F18:F26)</f>
        <v>19380.4608579241</v>
      </c>
      <c r="G27" s="19" t="n">
        <f aca="false">SUM(G18:G26)</f>
        <v>21206.8327561713</v>
      </c>
      <c r="H27" s="19" t="n">
        <f aca="false">SUM(H18:H26)</f>
        <v>23152.5411520985</v>
      </c>
    </row>
    <row r="29" customFormat="false" ht="15" hidden="false" customHeight="true" outlineLevel="0" collapsed="false">
      <c r="A29" s="4" t="s">
        <v>180</v>
      </c>
      <c r="B29" s="22" t="n">
        <f aca="false">B15-B27</f>
        <v>1</v>
      </c>
      <c r="C29" s="22" t="n">
        <f aca="false">C15-C27</f>
        <v>0</v>
      </c>
      <c r="D29" s="22" t="n">
        <f aca="false">D15-D27</f>
        <v>0</v>
      </c>
      <c r="E29" s="22" t="n">
        <f aca="false">E15-E27</f>
        <v>0</v>
      </c>
      <c r="F29" s="22" t="n">
        <f aca="false">F15-F27</f>
        <v>0</v>
      </c>
      <c r="G29" s="22" t="n">
        <f aca="false">G15-G27</f>
        <v>0</v>
      </c>
      <c r="H29" s="22" t="n">
        <f aca="false">H15-H27</f>
        <v>0</v>
      </c>
    </row>
    <row r="31" customFormat="false" ht="15" hidden="false" customHeight="true" outlineLevel="0" collapsed="false">
      <c r="A31" s="3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72"/>
  </cols>
  <sheetData>
    <row r="1" customFormat="false" ht="15.75" hidden="false" customHeight="true" outlineLevel="0" collapsed="false">
      <c r="A1" s="2" t="s">
        <v>182</v>
      </c>
    </row>
    <row r="2" customFormat="false" ht="15" hidden="false" customHeight="true" outlineLevel="0" collapsed="false">
      <c r="A2" s="3" t="s">
        <v>183</v>
      </c>
    </row>
    <row r="4" customFormat="false" ht="15" hidden="false" customHeight="true" outlineLevel="0" collapsed="false">
      <c r="A4" s="9" t="s">
        <v>184</v>
      </c>
    </row>
    <row r="5" customFormat="false" ht="27.75" hidden="false" customHeight="true" outlineLevel="0" collapsed="false">
      <c r="A5" s="10" t="s">
        <v>185</v>
      </c>
      <c r="B5" s="12" t="n">
        <v>0.0702</v>
      </c>
      <c r="C5" s="24" t="s">
        <v>186</v>
      </c>
    </row>
    <row r="6" customFormat="false" ht="27.75" hidden="false" customHeight="true" outlineLevel="0" collapsed="false">
      <c r="A6" s="10" t="s">
        <v>187</v>
      </c>
      <c r="B6" s="16" t="n">
        <v>0.9</v>
      </c>
      <c r="C6" s="24" t="s">
        <v>188</v>
      </c>
    </row>
    <row r="7" customFormat="false" ht="27.75" hidden="false" customHeight="true" outlineLevel="0" collapsed="false">
      <c r="A7" s="10" t="s">
        <v>189</v>
      </c>
      <c r="B7" s="12" t="n">
        <v>0.0731</v>
      </c>
      <c r="C7" s="24" t="s">
        <v>190</v>
      </c>
    </row>
    <row r="8" customFormat="false" ht="15" hidden="false" customHeight="true" outlineLevel="0" collapsed="false">
      <c r="A8" s="4" t="s">
        <v>191</v>
      </c>
      <c r="B8" s="25" t="n">
        <f aca="false">B5+B6*B7</f>
        <v>0.13599</v>
      </c>
    </row>
    <row r="10" customFormat="false" ht="15" hidden="false" customHeight="true" outlineLevel="0" collapsed="false">
      <c r="A10" s="9" t="s">
        <v>192</v>
      </c>
    </row>
    <row r="11" customFormat="false" ht="27.75" hidden="false" customHeight="true" outlineLevel="0" collapsed="false">
      <c r="A11" s="10" t="s">
        <v>193</v>
      </c>
      <c r="B11" s="12" t="n">
        <v>0.08</v>
      </c>
      <c r="C11" s="24" t="s">
        <v>194</v>
      </c>
    </row>
    <row r="12" customFormat="false" ht="27.75" hidden="false" customHeight="true" outlineLevel="0" collapsed="false">
      <c r="A12" s="10" t="s">
        <v>195</v>
      </c>
      <c r="B12" s="12" t="n">
        <v>0.252</v>
      </c>
      <c r="C12" s="24" t="s">
        <v>196</v>
      </c>
    </row>
    <row r="13" customFormat="false" ht="15" hidden="false" customHeight="true" outlineLevel="0" collapsed="false">
      <c r="A13" s="4" t="s">
        <v>197</v>
      </c>
      <c r="B13" s="25" t="n">
        <f aca="false">B11*(1-B12)</f>
        <v>0.05984</v>
      </c>
    </row>
    <row r="15" customFormat="false" ht="15" hidden="false" customHeight="true" outlineLevel="0" collapsed="false">
      <c r="A15" s="9" t="s">
        <v>198</v>
      </c>
    </row>
    <row r="16" customFormat="false" ht="27.75" hidden="false" customHeight="true" outlineLevel="0" collapsed="false">
      <c r="A16" s="10" t="s">
        <v>199</v>
      </c>
      <c r="B16" s="26" t="n">
        <f aca="false">Assumptions!B37*Assumptions!B38</f>
        <v>70035.9</v>
      </c>
      <c r="C16" s="24" t="s">
        <v>200</v>
      </c>
    </row>
    <row r="17" customFormat="false" ht="27.75" hidden="false" customHeight="true" outlineLevel="0" collapsed="false">
      <c r="A17" s="10" t="s">
        <v>201</v>
      </c>
      <c r="B17" s="26" t="n">
        <f aca="false">Schedules!C28</f>
        <v>265</v>
      </c>
      <c r="C17" s="24" t="s">
        <v>202</v>
      </c>
    </row>
    <row r="18" customFormat="false" ht="15" hidden="false" customHeight="true" outlineLevel="0" collapsed="false">
      <c r="A18" s="10" t="s">
        <v>203</v>
      </c>
      <c r="B18" s="26" t="n">
        <f aca="false">B16+B17</f>
        <v>70300.9</v>
      </c>
    </row>
    <row r="19" customFormat="false" ht="15" hidden="false" customHeight="true" outlineLevel="0" collapsed="false">
      <c r="A19" s="10" t="s">
        <v>204</v>
      </c>
      <c r="B19" s="27" t="n">
        <f aca="false">B16/B18</f>
        <v>0.9962304892256</v>
      </c>
    </row>
    <row r="20" customFormat="false" ht="15" hidden="false" customHeight="true" outlineLevel="0" collapsed="false">
      <c r="A20" s="10" t="s">
        <v>205</v>
      </c>
      <c r="B20" s="27" t="n">
        <f aca="false">B17/B18</f>
        <v>0.00376951077439976</v>
      </c>
    </row>
    <row r="22" customFormat="false" ht="27.75" hidden="false" customHeight="true" outlineLevel="0" collapsed="false">
      <c r="A22" s="4" t="s">
        <v>206</v>
      </c>
      <c r="B22" s="25" t="n">
        <f aca="false">B19*B8+B20*B13</f>
        <v>0.135702951754529</v>
      </c>
      <c r="C22" s="24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3" min="2" style="1" width="13"/>
  </cols>
  <sheetData>
    <row r="1" customFormat="false" ht="15.75" hidden="false" customHeight="true" outlineLevel="0" collapsed="false">
      <c r="A1" s="2" t="s">
        <v>208</v>
      </c>
    </row>
    <row r="2" customFormat="false" ht="15" hidden="false" customHeight="true" outlineLevel="0" collapsed="false">
      <c r="A2" s="3" t="s">
        <v>209</v>
      </c>
    </row>
    <row r="3" customFormat="false" ht="15" hidden="false" customHeight="true" outlineLevel="0" collapsed="false">
      <c r="A3" s="3" t="s">
        <v>210</v>
      </c>
    </row>
    <row r="5" customFormat="false" ht="15" hidden="false" customHeight="true" outlineLevel="0" collapsed="false">
      <c r="A5" s="7" t="s">
        <v>36</v>
      </c>
      <c r="D5" s="8" t="s">
        <v>39</v>
      </c>
      <c r="E5" s="8" t="s">
        <v>40</v>
      </c>
      <c r="F5" s="8" t="s">
        <v>41</v>
      </c>
      <c r="G5" s="8" t="s">
        <v>42</v>
      </c>
      <c r="H5" s="8" t="s">
        <v>43</v>
      </c>
    </row>
    <row r="7" customFormat="false" ht="15" hidden="false" customHeight="true" outlineLevel="0" collapsed="false">
      <c r="A7" s="6" t="s">
        <v>130</v>
      </c>
      <c r="D7" s="21" t="n">
        <f aca="false">IS!D$34</f>
        <v>2008.47486</v>
      </c>
      <c r="E7" s="21" t="n">
        <f aca="false">IS!E$34</f>
        <v>2277.5591179</v>
      </c>
      <c r="F7" s="21" t="n">
        <f aca="false">IS!F$34</f>
        <v>2541.438775717</v>
      </c>
      <c r="G7" s="21" t="n">
        <f aca="false">IS!G$34</f>
        <v>2762.02818927708</v>
      </c>
      <c r="H7" s="21" t="n">
        <f aca="false">IS!H$34</f>
        <v>2987.81838907242</v>
      </c>
    </row>
    <row r="8" customFormat="false" ht="15" hidden="false" customHeight="true" outlineLevel="0" collapsed="false">
      <c r="A8" s="6" t="s">
        <v>57</v>
      </c>
      <c r="D8" s="28" t="n">
        <f aca="false">Assumptions!D$26</f>
        <v>0.252</v>
      </c>
      <c r="E8" s="28" t="n">
        <f aca="false">Assumptions!E$26</f>
        <v>0.252</v>
      </c>
      <c r="F8" s="28" t="n">
        <f aca="false">Assumptions!F$26</f>
        <v>0.252</v>
      </c>
      <c r="G8" s="28" t="n">
        <f aca="false">Assumptions!G$26</f>
        <v>0.252</v>
      </c>
      <c r="H8" s="28" t="n">
        <f aca="false">Assumptions!H$26</f>
        <v>0.252</v>
      </c>
    </row>
    <row r="9" customFormat="false" ht="15" hidden="false" customHeight="true" outlineLevel="0" collapsed="false">
      <c r="A9" s="4" t="s">
        <v>211</v>
      </c>
      <c r="D9" s="19" t="n">
        <f aca="false">D7*(1-D8)</f>
        <v>1502.33919528</v>
      </c>
      <c r="E9" s="19" t="n">
        <f aca="false">E7*(1-E8)</f>
        <v>1703.6142201892</v>
      </c>
      <c r="F9" s="19" t="n">
        <f aca="false">F7*(1-F8)</f>
        <v>1900.99620423632</v>
      </c>
      <c r="G9" s="19" t="n">
        <f aca="false">G7*(1-G8)</f>
        <v>2065.99708557926</v>
      </c>
      <c r="H9" s="19" t="n">
        <f aca="false">H7*(1-H8)</f>
        <v>2234.88815502617</v>
      </c>
    </row>
    <row r="11" customFormat="false" ht="15" hidden="false" customHeight="true" outlineLevel="0" collapsed="false">
      <c r="A11" s="6" t="s">
        <v>127</v>
      </c>
      <c r="D11" s="21" t="n">
        <f aca="false">Schedules!D$8</f>
        <v>502.534</v>
      </c>
      <c r="E11" s="21" t="n">
        <f aca="false">Schedules!E$8</f>
        <v>591.1792551</v>
      </c>
      <c r="F11" s="21" t="n">
        <f aca="false">Schedules!F$8</f>
        <v>688.830598126</v>
      </c>
      <c r="G11" s="21" t="n">
        <f aca="false">Schedules!G$8</f>
        <v>757.65569777128</v>
      </c>
      <c r="H11" s="21" t="n">
        <f aca="false">Schedules!H$8</f>
        <v>864.675109993855</v>
      </c>
    </row>
    <row r="12" customFormat="false" ht="15" hidden="false" customHeight="true" outlineLevel="0" collapsed="false">
      <c r="A12" s="6" t="s">
        <v>212</v>
      </c>
      <c r="D12" s="21" t="n">
        <f aca="false">-Schedules!D$9</f>
        <v>-1256.335</v>
      </c>
      <c r="E12" s="21" t="n">
        <f aca="false">-Schedules!E$9</f>
        <v>-1266.8126895</v>
      </c>
      <c r="F12" s="21" t="n">
        <f aca="false">-Schedules!F$9</f>
        <v>-1252.41926932</v>
      </c>
      <c r="G12" s="21" t="n">
        <f aca="false">-Schedules!G$9</f>
        <v>-1308.67802342312</v>
      </c>
      <c r="H12" s="21" t="n">
        <f aca="false">-Schedules!H$9</f>
        <v>-1315.80994999065</v>
      </c>
    </row>
    <row r="13" customFormat="false" ht="15" hidden="false" customHeight="true" outlineLevel="0" collapsed="false">
      <c r="A13" s="6" t="s">
        <v>165</v>
      </c>
      <c r="D13" s="21" t="n">
        <f aca="false">-Schedules!D$18</f>
        <v>-407.770684931508</v>
      </c>
      <c r="E13" s="21" t="n">
        <f aca="false">-Schedules!E$18</f>
        <v>-323.186386027396</v>
      </c>
      <c r="F13" s="21" t="n">
        <f aca="false">-Schedules!F$18</f>
        <v>-337.546456676713</v>
      </c>
      <c r="G13" s="21" t="n">
        <f aca="false">-Schedules!G$18</f>
        <v>-334.26885257359</v>
      </c>
      <c r="H13" s="21" t="n">
        <f aca="false">-Schedules!H$18</f>
        <v>-337.181674556765</v>
      </c>
    </row>
    <row r="15" customFormat="false" ht="15" hidden="false" customHeight="true" outlineLevel="0" collapsed="false">
      <c r="A15" s="4" t="s">
        <v>213</v>
      </c>
      <c r="D15" s="22" t="n">
        <f aca="false">D9+D11+D12+D13</f>
        <v>340.767510348491</v>
      </c>
      <c r="E15" s="22" t="n">
        <f aca="false">E9+E11+E12+E13</f>
        <v>704.794399761805</v>
      </c>
      <c r="F15" s="22" t="n">
        <f aca="false">F9+F11+F12+F13</f>
        <v>999.861076365603</v>
      </c>
      <c r="G15" s="22" t="n">
        <f aca="false">G9+G11+G12+G13</f>
        <v>1180.70590735383</v>
      </c>
      <c r="H15" s="22" t="n">
        <f aca="false">H9+H11+H12+H13</f>
        <v>1446.57164047261</v>
      </c>
    </row>
    <row r="17" customFormat="false" ht="15" hidden="false" customHeight="true" outlineLevel="0" collapsed="false">
      <c r="A17" s="6" t="s">
        <v>214</v>
      </c>
      <c r="D17" s="29" t="n">
        <f aca="false">1-Assumptions!$B$41*0.5</f>
        <v>0.5</v>
      </c>
      <c r="E17" s="29" t="n">
        <f aca="false">2-Assumptions!$B$41*0.5</f>
        <v>1.5</v>
      </c>
      <c r="F17" s="29" t="n">
        <f aca="false">3-Assumptions!$B$41*0.5</f>
        <v>2.5</v>
      </c>
      <c r="G17" s="29" t="n">
        <f aca="false">4-Assumptions!$B$41*0.5</f>
        <v>3.5</v>
      </c>
      <c r="H17" s="29" t="n">
        <f aca="false">5-Assumptions!$B$41*0.5</f>
        <v>4.5</v>
      </c>
    </row>
    <row r="18" customFormat="false" ht="15" hidden="false" customHeight="true" outlineLevel="0" collapsed="false">
      <c r="A18" s="6" t="s">
        <v>215</v>
      </c>
      <c r="D18" s="30" t="n">
        <f aca="false">1/(1+WACC!$B$22)^D17</f>
        <v>0.938355972858754</v>
      </c>
      <c r="E18" s="30" t="n">
        <f aca="false">1/(1+WACC!$B$22)^E17</f>
        <v>0.826233630377646</v>
      </c>
      <c r="F18" s="30" t="n">
        <f aca="false">1/(1+WACC!$B$22)^F17</f>
        <v>0.727508570001699</v>
      </c>
      <c r="G18" s="30" t="n">
        <f aca="false">1/(1+WACC!$B$22)^G17</f>
        <v>0.640579976373032</v>
      </c>
      <c r="H18" s="30" t="n">
        <f aca="false">1/(1+WACC!$B$22)^H17</f>
        <v>0.564038312468423</v>
      </c>
    </row>
    <row r="19" customFormat="false" ht="15" hidden="false" customHeight="true" outlineLevel="0" collapsed="false">
      <c r="A19" s="6" t="s">
        <v>216</v>
      </c>
      <c r="D19" s="18" t="n">
        <f aca="false">D15*D18</f>
        <v>319.761228691714</v>
      </c>
      <c r="E19" s="18" t="n">
        <f aca="false">E15*E18</f>
        <v>582.32483558503</v>
      </c>
      <c r="F19" s="18" t="n">
        <f aca="false">F15*F18</f>
        <v>727.4075018671</v>
      </c>
      <c r="G19" s="18" t="n">
        <f aca="false">G15*G18</f>
        <v>756.336562236214</v>
      </c>
      <c r="H19" s="18" t="n">
        <f aca="false">H15*H18</f>
        <v>815.92182695685</v>
      </c>
    </row>
    <row r="22" customFormat="false" ht="15" hidden="false" customHeight="true" outlineLevel="0" collapsed="false">
      <c r="A22" s="9" t="s">
        <v>217</v>
      </c>
    </row>
    <row r="23" customFormat="false" ht="15" hidden="false" customHeight="true" outlineLevel="0" collapsed="false">
      <c r="A23" s="10" t="s">
        <v>218</v>
      </c>
      <c r="B23" s="18" t="n">
        <f aca="false">SUM(D19:H19)</f>
        <v>3201.75195533691</v>
      </c>
    </row>
    <row r="24" customFormat="false" ht="15" hidden="false" customHeight="true" outlineLevel="0" collapsed="false">
      <c r="A24" s="10" t="s">
        <v>219</v>
      </c>
      <c r="B24" s="18" t="n">
        <f aca="false">H15*(1+Assumptions!$B$39)/(WACC!$B$22-Assumptions!$B$39)</f>
        <v>17722.8460794055</v>
      </c>
      <c r="D24" s="3" t="s">
        <v>220</v>
      </c>
    </row>
    <row r="25" customFormat="false" ht="15" hidden="false" customHeight="true" outlineLevel="0" collapsed="false">
      <c r="A25" s="10" t="s">
        <v>221</v>
      </c>
      <c r="B25" s="18" t="n">
        <f aca="false">B24*H18</f>
        <v>9996.36419476549</v>
      </c>
    </row>
    <row r="26" customFormat="false" ht="15" hidden="false" customHeight="true" outlineLevel="0" collapsed="false">
      <c r="A26" s="4" t="s">
        <v>222</v>
      </c>
      <c r="B26" s="19" t="n">
        <f aca="false">B23+B25</f>
        <v>13198.1161501024</v>
      </c>
    </row>
    <row r="27" customFormat="false" ht="15" hidden="false" customHeight="true" outlineLevel="0" collapsed="false">
      <c r="A27" s="10" t="s">
        <v>223</v>
      </c>
      <c r="B27" s="11" t="n">
        <f aca="false">B25/B26</f>
        <v>0.757408412009462</v>
      </c>
      <c r="D27" s="3" t="s">
        <v>224</v>
      </c>
    </row>
    <row r="29" customFormat="false" ht="15" hidden="false" customHeight="true" outlineLevel="0" collapsed="false">
      <c r="A29" s="10" t="s">
        <v>225</v>
      </c>
      <c r="B29" s="18" t="n">
        <f aca="false">BS!C12</f>
        <v>2351</v>
      </c>
      <c r="D29" s="3" t="s">
        <v>226</v>
      </c>
    </row>
    <row r="30" customFormat="false" ht="15" hidden="false" customHeight="true" outlineLevel="0" collapsed="false">
      <c r="A30" s="10" t="s">
        <v>227</v>
      </c>
      <c r="B30" s="18" t="n">
        <f aca="false">-Schedules!C28</f>
        <v>-265</v>
      </c>
    </row>
    <row r="31" customFormat="false" ht="15" hidden="false" customHeight="true" outlineLevel="0" collapsed="false">
      <c r="A31" s="10" t="s">
        <v>228</v>
      </c>
      <c r="B31" s="18" t="n">
        <f aca="false">Assumptions!$B$40</f>
        <v>883</v>
      </c>
      <c r="D31" s="3" t="s">
        <v>229</v>
      </c>
    </row>
    <row r="32" customFormat="false" ht="15" hidden="false" customHeight="true" outlineLevel="0" collapsed="false">
      <c r="A32" s="4" t="s">
        <v>230</v>
      </c>
      <c r="B32" s="19" t="n">
        <f aca="false">B26+B29+B30+B31</f>
        <v>16167.1161501024</v>
      </c>
    </row>
    <row r="33" customFormat="false" ht="15" hidden="false" customHeight="true" outlineLevel="0" collapsed="false">
      <c r="A33" s="10" t="s">
        <v>67</v>
      </c>
      <c r="B33" s="29" t="n">
        <f aca="false">Assumptions!$B$37</f>
        <v>62.7</v>
      </c>
    </row>
    <row r="34" customFormat="false" ht="15" hidden="false" customHeight="true" outlineLevel="0" collapsed="false">
      <c r="A34" s="4" t="s">
        <v>231</v>
      </c>
      <c r="B34" s="31" t="n">
        <f aca="false">B32/B33</f>
        <v>257.848742425876</v>
      </c>
    </row>
    <row r="35" customFormat="false" ht="15" hidden="false" customHeight="true" outlineLevel="0" collapsed="false">
      <c r="A35" s="10" t="s">
        <v>232</v>
      </c>
      <c r="B35" s="32" t="n">
        <f aca="false">Assumptions!$B$38</f>
        <v>1117</v>
      </c>
    </row>
    <row r="36" customFormat="false" ht="15" hidden="false" customHeight="true" outlineLevel="0" collapsed="false">
      <c r="A36" s="10" t="s">
        <v>233</v>
      </c>
      <c r="B36" s="11" t="n">
        <f aca="false">B34/B35-1</f>
        <v>-0.769159586010855</v>
      </c>
      <c r="D36" s="3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3"/>
  </cols>
  <sheetData>
    <row r="1" customFormat="false" ht="15.75" hidden="false" customHeight="true" outlineLevel="0" collapsed="false">
      <c r="A1" s="2" t="s">
        <v>235</v>
      </c>
    </row>
    <row r="2" customFormat="false" ht="15" hidden="false" customHeight="true" outlineLevel="0" collapsed="false">
      <c r="A2" s="3" t="s">
        <v>236</v>
      </c>
    </row>
    <row r="4" customFormat="false" ht="15" hidden="false" customHeight="true" outlineLevel="0" collapsed="false">
      <c r="A4" s="4" t="s">
        <v>237</v>
      </c>
    </row>
    <row r="6" customFormat="false" ht="15" hidden="false" customHeight="true" outlineLevel="0" collapsed="false">
      <c r="B6" s="33" t="s">
        <v>238</v>
      </c>
      <c r="C6" s="34" t="n">
        <f aca="false">WACC!$B$22+-0.02</f>
        <v>0.115702951754529</v>
      </c>
      <c r="D6" s="34" t="n">
        <f aca="false">WACC!$B$22+-0.01</f>
        <v>0.125702951754529</v>
      </c>
      <c r="E6" s="34" t="n">
        <f aca="false">WACC!$B$22+0</f>
        <v>0.135702951754529</v>
      </c>
      <c r="F6" s="34" t="n">
        <f aca="false">WACC!$B$22+0.01</f>
        <v>0.145702951754529</v>
      </c>
      <c r="G6" s="34" t="n">
        <f aca="false">WACC!$B$22+0.02</f>
        <v>0.155702951754529</v>
      </c>
    </row>
    <row r="7" customFormat="false" ht="15" hidden="false" customHeight="true" outlineLevel="0" collapsed="false">
      <c r="B7" s="35" t="n">
        <f aca="false">Assumptions!$B$39+-0.01</f>
        <v>0.04</v>
      </c>
      <c r="C7" s="36" t="n">
        <f aca="false">IF((WACC!$B$22+-0.02)&lt;=(Assumptions!$B$39+-0.01),NA(),(SUMPRODUCT(DCF!$D$15:$H$15,(1+(WACC!$B$22+-0.02))^-DCF!$D$17:$H$17)+DCF!$H$15*(1+(Assumptions!$B$39+-0.01))/((WACC!$B$22+-0.02)-(Assumptions!$B$39+-0.01))*(1+(WACC!$B$22+-0.02))^-DCF!$H$17+BS!$C$12-Schedules!$C$28+Assumptions!$B$40)/Assumptions!$B$37)</f>
        <v>294.750498575325</v>
      </c>
      <c r="D7" s="36" t="n">
        <f aca="false">IF((WACC!$B$22+-0.01)&lt;=(Assumptions!$B$39+-0.01),NA(),(SUMPRODUCT(DCF!$D$15:$H$15,(1+(WACC!$B$22+-0.01))^-DCF!$D$17:$H$17)+DCF!$H$15*(1+(Assumptions!$B$39+-0.01))/((WACC!$B$22+-0.01)-(Assumptions!$B$39+-0.01))*(1+(WACC!$B$22+-0.01))^-DCF!$H$17+BS!$C$12-Schedules!$C$28+Assumptions!$B$40)/Assumptions!$B$37)</f>
        <v>264.055375263045</v>
      </c>
      <c r="E7" s="36" t="n">
        <f aca="false">IF((WACC!$B$22+0)&lt;=(Assumptions!$B$39+-0.01),NA(),(SUMPRODUCT(DCF!$D$15:$H$15,(1+(WACC!$B$22+0))^-DCF!$D$17:$H$17)+DCF!$H$15*(1+(Assumptions!$B$39+-0.01))/((WACC!$B$22+0)-(Assumptions!$B$39+-0.01))*(1+(WACC!$B$22+0))^-DCF!$H$17+BS!$C$12-Schedules!$C$28+Assumptions!$B$40)/Assumptions!$B$37)</f>
        <v>239.829992745111</v>
      </c>
      <c r="F7" s="36" t="n">
        <f aca="false">IF((WACC!$B$22+0.01)&lt;=(Assumptions!$B$39+-0.01),NA(),(SUMPRODUCT(DCF!$D$15:$H$15,(1+(WACC!$B$22+0.01))^-DCF!$D$17:$H$17)+DCF!$H$15*(1+(Assumptions!$B$39+-0.01))/((WACC!$B$22+0.01)-(Assumptions!$B$39+-0.01))*(1+(WACC!$B$22+0.01))^-DCF!$H$17+BS!$C$12-Schedules!$C$28+Assumptions!$B$40)/Assumptions!$B$37)</f>
        <v>220.236079584008</v>
      </c>
      <c r="G7" s="36" t="n">
        <f aca="false">IF((WACC!$B$22+0.02)&lt;=(Assumptions!$B$39+-0.01),NA(),(SUMPRODUCT(DCF!$D$15:$H$15,(1+(WACC!$B$22+0.02))^-DCF!$D$17:$H$17)+DCF!$H$15*(1+(Assumptions!$B$39+-0.01))/((WACC!$B$22+0.02)-(Assumptions!$B$39+-0.01))*(1+(WACC!$B$22+0.02))^-DCF!$H$17+BS!$C$12-Schedules!$C$28+Assumptions!$B$40)/Assumptions!$B$37)</f>
        <v>204.070974539368</v>
      </c>
    </row>
    <row r="8" customFormat="false" ht="15" hidden="false" customHeight="true" outlineLevel="0" collapsed="false">
      <c r="B8" s="35" t="n">
        <f aca="false">Assumptions!$B$39+-0.005</f>
        <v>0.045</v>
      </c>
      <c r="C8" s="36" t="n">
        <f aca="false">IF((WACC!$B$22+-0.02)&lt;=(Assumptions!$B$39+-0.005),NA(),(SUMPRODUCT(DCF!$D$15:$H$15,(1+(WACC!$B$22+-0.02))^-DCF!$D$17:$H$17)+DCF!$H$15*(1+(Assumptions!$B$39+-0.005))/((WACC!$B$22+-0.02)-(Assumptions!$B$39+-0.005))*(1+(WACC!$B$22+-0.02))^-DCF!$H$17+BS!$C$12-Schedules!$C$28+Assumptions!$B$40)/Assumptions!$B$37)</f>
        <v>309.442197303121</v>
      </c>
      <c r="D8" s="36" t="n">
        <f aca="false">IF((WACC!$B$22+-0.01)&lt;=(Assumptions!$B$39+-0.005),NA(),(SUMPRODUCT(DCF!$D$15:$H$15,(1+(WACC!$B$22+-0.01))^-DCF!$D$17:$H$17)+DCF!$H$15*(1+(Assumptions!$B$39+-0.005))/((WACC!$B$22+-0.01)-(Assumptions!$B$39+-0.005))*(1+(WACC!$B$22+-0.01))^-DCF!$H$17+BS!$C$12-Schedules!$C$28+Assumptions!$B$40)/Assumptions!$B$37)</f>
        <v>275.075179855879</v>
      </c>
      <c r="E8" s="36" t="n">
        <f aca="false">IF((WACC!$B$22+0)&lt;=(Assumptions!$B$39+-0.005),NA(),(SUMPRODUCT(DCF!$D$15:$H$15,(1+(WACC!$B$22+0))^-DCF!$D$17:$H$17)+DCF!$H$15*(1+(Assumptions!$B$39+-0.005))/((WACC!$B$22+0)-(Assumptions!$B$39+-0.005))*(1+(WACC!$B$22+0))^-DCF!$H$17+BS!$C$12-Schedules!$C$28+Assumptions!$B$40)/Assumptions!$B$37)</f>
        <v>248.342725818819</v>
      </c>
      <c r="F8" s="36" t="n">
        <f aca="false">IF((WACC!$B$22+0.01)&lt;=(Assumptions!$B$39+-0.005),NA(),(SUMPRODUCT(DCF!$D$15:$H$15,(1+(WACC!$B$22+0.01))^-DCF!$D$17:$H$17)+DCF!$H$15*(1+(Assumptions!$B$39+-0.005))/((WACC!$B$22+0.01)-(Assumptions!$B$39+-0.005))*(1+(WACC!$B$22+0.01))^-DCF!$H$17+BS!$C$12-Schedules!$C$28+Assumptions!$B$40)/Assumptions!$B$37)</f>
        <v>226.968341170882</v>
      </c>
      <c r="G8" s="36" t="n">
        <f aca="false">IF((WACC!$B$22+0.02)&lt;=(Assumptions!$B$39+-0.005),NA(),(SUMPRODUCT(DCF!$D$15:$H$15,(1+(WACC!$B$22+0.02))^-DCF!$D$17:$H$17)+DCF!$H$15*(1+(Assumptions!$B$39+-0.005))/((WACC!$B$22+0.02)-(Assumptions!$B$39+-0.005))*(1+(WACC!$B$22+0.02))^-DCF!$H$17+BS!$C$12-Schedules!$C$28+Assumptions!$B$40)/Assumptions!$B$37)</f>
        <v>209.498189105779</v>
      </c>
    </row>
    <row r="9" customFormat="false" ht="15" hidden="false" customHeight="true" outlineLevel="0" collapsed="false">
      <c r="B9" s="35" t="n">
        <f aca="false">Assumptions!$B$39+0</f>
        <v>0.05</v>
      </c>
      <c r="C9" s="36" t="n">
        <f aca="false">IF((WACC!$B$22+-0.02)&lt;=(Assumptions!$B$39+0),NA(),(SUMPRODUCT(DCF!$D$15:$H$15,(1+(WACC!$B$22+-0.02))^-DCF!$D$17:$H$17)+DCF!$H$15*(1+(Assumptions!$B$39+0))/((WACC!$B$22+-0.02)-(Assumptions!$B$39+0))*(1+(WACC!$B$22+-0.02))^-DCF!$H$17+BS!$C$12-Schedules!$C$28+Assumptions!$B$40)/Assumptions!$B$37)</f>
        <v>326.369974979497</v>
      </c>
      <c r="D9" s="36" t="n">
        <f aca="false">IF((WACC!$B$22+-0.01)&lt;=(Assumptions!$B$39+0),NA(),(SUMPRODUCT(DCF!$D$15:$H$15,(1+(WACC!$B$22+-0.01))^-DCF!$D$17:$H$17)+DCF!$H$15*(1+(Assumptions!$B$39+0))/((WACC!$B$22+-0.01)-(Assumptions!$B$39+0))*(1+(WACC!$B$22+-0.01))^-DCF!$H$17+BS!$C$12-Schedules!$C$28+Assumptions!$B$40)/Assumptions!$B$37)</f>
        <v>287.55064824219</v>
      </c>
      <c r="E9" s="36" t="n">
        <f aca="false">IF((WACC!$B$22+0)&lt;=(Assumptions!$B$39+0),NA(),(SUMPRODUCT(DCF!$D$15:$H$15,(1+(WACC!$B$22+0))^-DCF!$D$17:$H$17)+DCF!$H$15*(1+(Assumptions!$B$39+0))/((WACC!$B$22+0)-(Assumptions!$B$39+0))*(1+(WACC!$B$22+0))^-DCF!$H$17+BS!$C$12-Schedules!$C$28+Assumptions!$B$40)/Assumptions!$B$37)</f>
        <v>257.848742425876</v>
      </c>
      <c r="F9" s="36" t="n">
        <f aca="false">IF((WACC!$B$22+0.01)&lt;=(Assumptions!$B$39+0),NA(),(SUMPRODUCT(DCF!$D$15:$H$15,(1+(WACC!$B$22+0.01))^-DCF!$D$17:$H$17)+DCF!$H$15*(1+(Assumptions!$B$39+0))/((WACC!$B$22+0.01)-(Assumptions!$B$39+0))*(1+(WACC!$B$22+0.01))^-DCF!$H$17+BS!$C$12-Schedules!$C$28+Assumptions!$B$40)/Assumptions!$B$37)</f>
        <v>234.404056670457</v>
      </c>
      <c r="G9" s="36" t="n">
        <f aca="false">IF((WACC!$B$22+0.02)&lt;=(Assumptions!$B$39+0),NA(),(SUMPRODUCT(DCF!$D$15:$H$15,(1+(WACC!$B$22+0.02))^-DCF!$D$17:$H$17)+DCF!$H$15*(1+(Assumptions!$B$39+0))/((WACC!$B$22+0.02)-(Assumptions!$B$39+0))*(1+(WACC!$B$22+0.02))^-DCF!$H$17+BS!$C$12-Schedules!$C$28+Assumptions!$B$40)/Assumptions!$B$37)</f>
        <v>215.438843881412</v>
      </c>
    </row>
    <row r="10" customFormat="false" ht="15" hidden="false" customHeight="true" outlineLevel="0" collapsed="false">
      <c r="B10" s="35" t="n">
        <f aca="false">Assumptions!$B$39+0.005</f>
        <v>0.055</v>
      </c>
      <c r="C10" s="36" t="n">
        <f aca="false">IF((WACC!$B$22+-0.02)&lt;=(Assumptions!$B$39+0.005),NA(),(SUMPRODUCT(DCF!$D$15:$H$15,(1+(WACC!$B$22+-0.02))^-DCF!$D$17:$H$17)+DCF!$H$15*(1+(Assumptions!$B$39+0.005))/((WACC!$B$22+-0.02)-(Assumptions!$B$39+0.005))*(1+(WACC!$B$22+-0.02))^-DCF!$H$17+BS!$C$12-Schedules!$C$28+Assumptions!$B$40)/Assumptions!$B$37)</f>
        <v>346.086377786465</v>
      </c>
      <c r="D10" s="36" t="n">
        <f aca="false">IF((WACC!$B$22+-0.01)&lt;=(Assumptions!$B$39+0.005),NA(),(SUMPRODUCT(DCF!$D$15:$H$15,(1+(WACC!$B$22+-0.01))^-DCF!$D$17:$H$17)+DCF!$H$15*(1+(Assumptions!$B$39+0.005))/((WACC!$B$22+-0.01)-(Assumptions!$B$39+0.005))*(1+(WACC!$B$22+-0.01))^-DCF!$H$17+BS!$C$12-Schedules!$C$28+Assumptions!$B$40)/Assumptions!$B$37)</f>
        <v>301.790607088479</v>
      </c>
      <c r="E10" s="36" t="n">
        <f aca="false">IF((WACC!$B$22+0)&lt;=(Assumptions!$B$39+0.005),NA(),(SUMPRODUCT(DCF!$D$15:$H$15,(1+(WACC!$B$22+0))^-DCF!$D$17:$H$17)+DCF!$H$15*(1+(Assumptions!$B$39+0.005))/((WACC!$B$22+0)-(Assumptions!$B$39+0.005))*(1+(WACC!$B$22+0))^-DCF!$H$17+BS!$C$12-Schedules!$C$28+Assumptions!$B$40)/Assumptions!$B$37)</f>
        <v>268.532661005585</v>
      </c>
      <c r="F10" s="36" t="n">
        <f aca="false">IF((WACC!$B$22+0.01)&lt;=(Assumptions!$B$39+0.005),NA(),(SUMPRODUCT(DCF!$D$15:$H$15,(1+(WACC!$B$22+0.01))^-DCF!$D$17:$H$17)+DCF!$H$15*(1+(Assumptions!$B$39+0.005))/((WACC!$B$22+0.01)-(Assumptions!$B$39+0.005))*(1+(WACC!$B$22+0.01))^-DCF!$H$17+BS!$C$12-Schedules!$C$28+Assumptions!$B$40)/Assumptions!$B$37)</f>
        <v>242.659559768532</v>
      </c>
      <c r="G10" s="36" t="n">
        <f aca="false">IF((WACC!$B$22+0.02)&lt;=(Assumptions!$B$39+0.005),NA(),(SUMPRODUCT(DCF!$D$15:$H$15,(1+(WACC!$B$22+0.02))^-DCF!$D$17:$H$17)+DCF!$H$15*(1+(Assumptions!$B$39+0.005))/((WACC!$B$22+0.02)-(Assumptions!$B$39+0.005))*(1+(WACC!$B$22+0.02))^-DCF!$H$17+BS!$C$12-Schedules!$C$28+Assumptions!$B$40)/Assumptions!$B$37)</f>
        <v>221.969417291218</v>
      </c>
    </row>
    <row r="11" customFormat="false" ht="15" hidden="false" customHeight="true" outlineLevel="0" collapsed="false">
      <c r="B11" s="35" t="n">
        <f aca="false">Assumptions!$B$39+0.01</f>
        <v>0.06</v>
      </c>
      <c r="C11" s="36" t="n">
        <f aca="false">IF((WACC!$B$22+-0.02)&lt;=(Assumptions!$B$39+0.01),NA(),(SUMPRODUCT(DCF!$D$15:$H$15,(1+(WACC!$B$22+-0.02))^-DCF!$D$17:$H$17)+DCF!$H$15*(1+(Assumptions!$B$39+0.01))/((WACC!$B$22+-0.02)-(Assumptions!$B$39+0.01))*(1+(WACC!$B$22+-0.02))^-DCF!$H$17+BS!$C$12-Schedules!$C$28+Assumptions!$B$40)/Assumptions!$B$37)</f>
        <v>369.342342176068</v>
      </c>
      <c r="D11" s="36" t="n">
        <f aca="false">IF((WACC!$B$22+-0.01)&lt;=(Assumptions!$B$39+0.01),NA(),(SUMPRODUCT(DCF!$D$15:$H$15,(1+(WACC!$B$22+-0.01))^-DCF!$D$17:$H$17)+DCF!$H$15*(1+(Assumptions!$B$39+0.01))/((WACC!$B$22+-0.01)-(Assumptions!$B$39+0.01))*(1+(WACC!$B$22+-0.01))^-DCF!$H$17+BS!$C$12-Schedules!$C$28+Assumptions!$B$40)/Assumptions!$B$37)</f>
        <v>318.19788999952</v>
      </c>
      <c r="E11" s="36" t="n">
        <f aca="false">IF((WACC!$B$22+0)&lt;=(Assumptions!$B$39+0.01),NA(),(SUMPRODUCT(DCF!$D$15:$H$15,(1+(WACC!$B$22+0))^-DCF!$D$17:$H$17)+DCF!$H$15*(1+(Assumptions!$B$39+0.01))/((WACC!$B$22+0)-(Assumptions!$B$39+0.01))*(1+(WACC!$B$22+0))^-DCF!$H$17+BS!$C$12-Schedules!$C$28+Assumptions!$B$40)/Assumptions!$B$37)</f>
        <v>280.627874433393</v>
      </c>
      <c r="F11" s="36" t="n">
        <f aca="false">IF((WACC!$B$22+0.01)&lt;=(Assumptions!$B$39+0.01),NA(),(SUMPRODUCT(DCF!$D$15:$H$15,(1+(WACC!$B$22+0.01))^-DCF!$D$17:$H$17)+DCF!$H$15*(1+(Assumptions!$B$39+0.01))/((WACC!$B$22+0.01)-(Assumptions!$B$39+0.01))*(1+(WACC!$B$22+0.01))^-DCF!$H$17+BS!$C$12-Schedules!$C$28+Assumptions!$B$40)/Assumptions!$B$37)</f>
        <v>251.878332267377</v>
      </c>
      <c r="G11" s="36" t="n">
        <f aca="false">IF((WACC!$B$22+0.02)&lt;=(Assumptions!$B$39+0.01),NA(),(SUMPRODUCT(DCF!$D$15:$H$15,(1+(WACC!$B$22+0.02))^-DCF!$D$17:$H$17)+DCF!$H$15*(1+(Assumptions!$B$39+0.01))/((WACC!$B$22+0.02)-(Assumptions!$B$39+0.01))*(1+(WACC!$B$22+0.02))^-DCF!$H$17+BS!$C$12-Schedules!$C$28+Assumptions!$B$40)/Assumptions!$B$37)</f>
        <v>229.182370219114</v>
      </c>
    </row>
    <row r="14" customFormat="false" ht="15" hidden="false" customHeight="true" outlineLevel="0" collapsed="false">
      <c r="B14" s="4" t="s">
        <v>239</v>
      </c>
      <c r="C14" s="37" t="n">
        <f aca="false">Assumptions!$B$38</f>
        <v>1117</v>
      </c>
    </row>
    <row r="15" customFormat="false" ht="15" hidden="false" customHeight="true" outlineLevel="0" collapsed="false">
      <c r="B15" s="4" t="s">
        <v>240</v>
      </c>
      <c r="C15" s="38" t="n">
        <f aca="false">DCF!$B$34</f>
        <v>257.848742425876</v>
      </c>
    </row>
    <row r="18" customFormat="false" ht="15.75" hidden="false" customHeight="true" outlineLevel="0" collapsed="false">
      <c r="A18" s="2" t="s">
        <v>241</v>
      </c>
    </row>
    <row r="19" customFormat="false" ht="15" hidden="false" customHeight="true" outlineLevel="0" collapsed="false">
      <c r="A19" s="3" t="s">
        <v>242</v>
      </c>
    </row>
    <row r="20" customFormat="false" ht="15" hidden="false" customHeight="true" outlineLevel="0" collapsed="false">
      <c r="A20" s="3" t="s">
        <v>243</v>
      </c>
    </row>
    <row r="21" customFormat="false" ht="15" hidden="false" customHeight="true" outlineLevel="0" collapsed="false">
      <c r="A21" s="3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2026-09-06T13:30:26Z</dcterms:created>
  <dc:creator>openpyxl</dc:creator>
  <dc:description/>
  <dc:language>en-US</dc:language>
  <cp:lastModifiedBy/>
  <dcterms:modified xsi:type="dcterms:W3CDTF">2026-09-13T13:29:12Z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