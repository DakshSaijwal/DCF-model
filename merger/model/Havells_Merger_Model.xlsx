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 &amp; Uses" sheetId="3" state="visible" r:id="rId5"/>
    <sheet name="Purchase Price Allocation" sheetId="4" state="visible" r:id="rId6"/>
    <sheet name="Pro Forma Income Statement" sheetId="5" state="visible" r:id="rId7"/>
    <sheet name="Accretion-Dilution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<sst xmlns="http://schemas.openxmlformats.org/spreadsheetml/2006/main" count="151" uniqueCount="141">
  <si>
    <t xml:space="preserve">HAVELLS INDIA LIMITED</t>
  </si>
  <si>
    <t xml:space="preserve">Hypothetical Acquisition of IFB Industries Limited: Merger Model &amp; Accretion/Dilution Analysis</t>
  </si>
  <si>
    <t xml:space="preserve">WHY THIS DEAL, AND WHY IT IS DIFFERENT FROM THE LBO MODEL</t>
  </si>
  <si>
    <t xml:space="preserve">The LBO model elsewhere in this repository models Havells as a hypothetical ACQUISITION TARGET, and states plainly that this is unrealistic given the company's promoter control and scale. This model does the opposite: it models Havells as the ACQUIRER of a real, smaller, publicly listed company. This is a plausible real-world deal shape. Havells is debt-free with a large cash pile, and its Lloyd segment (air conditioners, refrigerators, washing machines) posted a segment loss in FY26 on falling revenue. IFB Industries is a real home-appliance manufacturer (washing machines, microwaves, dishwashers) roughly a fourteenth of Havells' size by market value -- a genuine bolt-on scale. The deal TERMS used here (premium, financing mix, synergies) are entirely illustrative and are not based on any actual announced transaction, advisory mandate, or non-public information about either company.</t>
  </si>
  <si>
    <t xml:space="preserve">Acquirer</t>
  </si>
  <si>
    <t xml:space="preserve">Havells India Limited (NSE: HAVELLS) -- standalone FY26A financials, consistent with the companion DCF and LBO models in this repo.</t>
  </si>
  <si>
    <t xml:space="preserve">Target</t>
  </si>
  <si>
    <t xml:space="preserve">IFB Industries Limited (NSE: IFBIND) -- consolidated FY26A financials (home appliances + engineering segments).</t>
  </si>
  <si>
    <t xml:space="preserve">Deal structure</t>
  </si>
  <si>
    <t xml:space="preserve">Illustrative acquisition of 100% of IFB's outstanding equity at a control premium to its current market price.</t>
  </si>
  <si>
    <t xml:space="preserve">Consideration</t>
  </si>
  <si>
    <t xml:space="preserve">Base case: 100% cash, funded by a mix of Havells' own balance sheet cash and newly raised acquisition debt -- the company's first-ever borrowing beyond lease liabilities.</t>
  </si>
  <si>
    <t xml:space="preserve">Analysis horizon</t>
  </si>
  <si>
    <t xml:space="preserve">Year 1 pro forma (illustrative, as if the combination had been in place for the full FY26 year).</t>
  </si>
  <si>
    <t xml:space="preserve">Units</t>
  </si>
  <si>
    <t xml:space="preserve">INR crore unless stated otherwise</t>
  </si>
  <si>
    <t xml:space="preserve">Colour convention</t>
  </si>
  <si>
    <t xml:space="preserve">BLUE = hardcoded input (mostly reported figures)   |   BLACK = formula on this sheet   |   GREEN = link from another sheet   |   YELLOW FILL = assumption requiring justification</t>
  </si>
  <si>
    <t xml:space="preserve">Disclaimer</t>
  </si>
  <si>
    <t xml:space="preserve">Educational exercise. Not investment research, not a deal recommendation, not investment advice, and not based on any actual or rumoured transaction.</t>
  </si>
  <si>
    <t xml:space="preserve">STANDALONE FINANCIALS AND DEAL ASSUMPTIONS</t>
  </si>
  <si>
    <t xml:space="preserve">Every yellow cell is an input you own and must justify. Blue cells are reported figures.</t>
  </si>
  <si>
    <t xml:space="preserve">HAVELLS (ACQUIRER) -- FY26A STANDALONE, CLEAN</t>
  </si>
  <si>
    <t xml:space="preserve">Clean operating EBIT (ex fair-value gain, ex exceptional item)</t>
  </si>
  <si>
    <t xml:space="preserve">EBITDA 2,213 less D&amp;A 429, consistent with the companion DCF model's treatment of the Goldi Solar fair-value gain.</t>
  </si>
  <si>
    <t xml:space="preserve">Other income, net</t>
  </si>
  <si>
    <t xml:space="preserve">Reported FY26A other income.</t>
  </si>
  <si>
    <t xml:space="preserve">Existing finance cost (lease interest)</t>
  </si>
  <si>
    <t xml:space="preserve">Reported FY26A finance cost; Havells carries no borrowings today.</t>
  </si>
  <si>
    <t xml:space="preserve">Effective tax rate</t>
  </si>
  <si>
    <t xml:space="preserve">Statutory rate under the concessional regime, same as the companion models.</t>
  </si>
  <si>
    <t xml:space="preserve">Diluted shares outstanding (crore)</t>
  </si>
  <si>
    <t xml:space="preserve">Same as the companion DCF and LBO models.</t>
  </si>
  <si>
    <t xml:space="preserve">Current share price (INR)</t>
  </si>
  <si>
    <t xml:space="preserve">Same valuation date as the companion models.</t>
  </si>
  <si>
    <t xml:space="preserve">IFB INDUSTRIES (TARGET) -- FY26A CONSOLIDATED, AS REPORTED</t>
  </si>
  <si>
    <t xml:space="preserve">Reported profit before tax</t>
  </si>
  <si>
    <t xml:space="preserve">FY26A consolidated PBT, as reported.</t>
  </si>
  <si>
    <t xml:space="preserve">Reported net profit</t>
  </si>
  <si>
    <t xml:space="preserve">FY26A consolidated net profit, as reported.</t>
  </si>
  <si>
    <t xml:space="preserve">Effective tax rate (reported)</t>
  </si>
  <si>
    <t xml:space="preserve">Estimated net finance cost (verify against annual report)</t>
  </si>
  <si>
    <t xml:space="preserve">Not separately disclosed in the results summary used to build this model. Placeholder: confirm against IFB's FY26 annual report finance-cost note before presenting this model.</t>
  </si>
  <si>
    <t xml:space="preserve">Adjusted EBIT (PBT + estimated finance cost)</t>
  </si>
  <si>
    <t xml:space="preserve">Derived as reported net profit / reported EPS (Rs 35.43).</t>
  </si>
  <si>
    <t xml:space="preserve">Implied from FY26A market capitalisation (~INR 5,268 Cr) / diluted shares.</t>
  </si>
  <si>
    <t xml:space="preserve">DEAL TERMS</t>
  </si>
  <si>
    <t xml:space="preserve">Control premium over IFB's current share price</t>
  </si>
  <si>
    <t xml:space="preserve">Illustrative; typical control premiums in Indian strategic M&amp;A run 20-40%.</t>
  </si>
  <si>
    <t xml:space="preserve">Offer price per IFB share (INR)</t>
  </si>
  <si>
    <t xml:space="preserve">Cash consideration (% of deal)</t>
  </si>
  <si>
    <t xml:space="preserve">Base case: all-cash. Vary this on the Sensitivity tab to test a stock-funded alternative.</t>
  </si>
  <si>
    <t xml:space="preserve">Cash drawn from Havells' existing balance sheet</t>
  </si>
  <si>
    <t xml:space="preserve">Deliberately less than Havells' full FY26A cash balance (INR 2,351 Cr) -- unlike the LBO model, this deal retains a cash buffer.</t>
  </si>
  <si>
    <t xml:space="preserve">New acquisition debt: interest rate (all-in)</t>
  </si>
  <si>
    <t xml:space="preserve">Priced better than the LBO model's 10.5% -- an investment-grade strategic acquirer borrowing on its own strong balance sheet commands a better rate than a leveraged sponsor deal.</t>
  </si>
  <si>
    <t xml:space="preserve">Foregone interest rate on cash used to fund the deal</t>
  </si>
  <si>
    <t xml:space="preserve">Illustrative short-term liquid-fund / FD yield opportunity cost.</t>
  </si>
  <si>
    <t xml:space="preserve">Transaction fees (% of equity purchase price)</t>
  </si>
  <si>
    <t xml:space="preserve">Advisory, legal and financing fees.</t>
  </si>
  <si>
    <t xml:space="preserve">PURCHASE PRICE ALLOCATION (SIMPLIFIED)</t>
  </si>
  <si>
    <t xml:space="preserve">% of equity purchase price allocated to amortisable intangibles</t>
  </si>
  <si>
    <t xml:space="preserve">Simplification: the remainder is allocated to non-amortising goodwill. A full PPA would also step up inventory and fixed assets; this model does not.</t>
  </si>
  <si>
    <t xml:space="preserve">Intangible amortisation period (years)</t>
  </si>
  <si>
    <t xml:space="preserve">Illustrative useful life for acquired brand/customer relationships.</t>
  </si>
  <si>
    <t xml:space="preserve">Incremental D&amp;A tax-deductible?</t>
  </si>
  <si>
    <t xml:space="preserve">No</t>
  </si>
  <si>
    <t xml:space="preserve">Assumption: this is a share purchase, so the acquirer does not receive a stepped-up tax basis in India -- the incremental book D&amp;A from the step-up is therefore NOT tax-deductible. This is a real technical nuance between share deals and asset deals worth knowing for an M&amp;A interview.</t>
  </si>
  <si>
    <t xml:space="preserve">SYNERGIES</t>
  </si>
  <si>
    <t xml:space="preserve">Run-rate annual pre-tax cost synergies</t>
  </si>
  <si>
    <t xml:space="preserve">Illustrative: combined distribution network and manufacturing/procurement scale across the two companies' white-goods lines. Not based on any actual synergy study.</t>
  </si>
  <si>
    <t xml:space="preserve">Year 1 realisation (% of run-rate)</t>
  </si>
  <si>
    <t xml:space="preserve">Standard first-year phase-in assumption; full run-rate typically takes 18-24 months.</t>
  </si>
  <si>
    <t xml:space="preserve">SOURCES &amp; USES</t>
  </si>
  <si>
    <t xml:space="preserve">The two columns must tie out exactly. INR crore.</t>
  </si>
  <si>
    <t xml:space="preserve">USES</t>
  </si>
  <si>
    <t xml:space="preserve">IFB diluted shares (crore)</t>
  </si>
  <si>
    <t xml:space="preserve">x Offer price per share (INR)</t>
  </si>
  <si>
    <t xml:space="preserve">Equity purchase price</t>
  </si>
  <si>
    <t xml:space="preserve">Transaction fees</t>
  </si>
  <si>
    <t xml:space="preserve">TOTAL USES</t>
  </si>
  <si>
    <t xml:space="preserve">SOURCES</t>
  </si>
  <si>
    <t xml:space="preserve">Total cash portion of the deal</t>
  </si>
  <si>
    <t xml:space="preserve">  of which: from Havells' existing balance sheet</t>
  </si>
  <si>
    <t xml:space="preserve">  of which: new acquisition term loan (plug)</t>
  </si>
  <si>
    <t xml:space="preserve">Stock portion of the deal (new Havells shares issued)</t>
  </si>
  <si>
    <t xml:space="preserve">  new Havells shares issued (crore)</t>
  </si>
  <si>
    <t xml:space="preserve">TOTAL SOURCES</t>
  </si>
  <si>
    <t xml:space="preserve">CHECK (Sources - Uses, must be zero)</t>
  </si>
  <si>
    <t xml:space="preserve">Implied acquisition leverage (new debt / Havells FY26A EBITDA of 2,213)</t>
  </si>
  <si>
    <t xml:space="preserve">Implied premium check: offer price vs. current IFB price</t>
  </si>
  <si>
    <t xml:space="preserve">A full PPA also steps up inventory and fixed assets and recognises deferred tax on the step-up; this model simplifies to a single amortisable intangible plus goodwill, which is enough to demonstrate the accretion/dilution mechanics without over-building a first merger model.</t>
  </si>
  <si>
    <t xml:space="preserve">x % allocated to amortisable intangibles</t>
  </si>
  <si>
    <t xml:space="preserve">Amortisable intangible asset</t>
  </si>
  <si>
    <t xml:space="preserve">Goodwill (residual, non-amortising)</t>
  </si>
  <si>
    <t xml:space="preserve">Amortisation period (years)</t>
  </si>
  <si>
    <t xml:space="preserve">Incremental annual D&amp;A from the step-up</t>
  </si>
  <si>
    <t xml:space="preserve">Tax-deductible?</t>
  </si>
  <si>
    <t xml:space="preserve">NOTE</t>
  </si>
  <si>
    <t xml:space="preserve">This is a share purchase, so Havells does not receive a stepped-up tax basis in the target's assets under Indian tax law. The incremental book D&amp;A above reduces reported (book) profit but creates no cash tax benefit -- this model applies tax at the standard rate to book pre-tax profit throughout, which is the standard simplification in a first accretion/dilution model; a more complete model would track book-tax differences and deferred tax separately.</t>
  </si>
  <si>
    <t xml:space="preserve">PRO FORMA INCOME STATEMENT -- YEAR 1 (ILLUSTRATIVE)</t>
  </si>
  <si>
    <t xml:space="preserve">As if the two companies had been combined for the full FY26 year. INR crore.</t>
  </si>
  <si>
    <t xml:space="preserve">Havells clean operating EBIT</t>
  </si>
  <si>
    <t xml:space="preserve">IFB adjusted EBIT</t>
  </si>
  <si>
    <t xml:space="preserve">Combined operating EBIT</t>
  </si>
  <si>
    <t xml:space="preserve">Add: Havells other income</t>
  </si>
  <si>
    <t xml:space="preserve">Less: Havells existing finance cost (lease interest)</t>
  </si>
  <si>
    <t xml:space="preserve">Less: IFB existing finance cost (assumed retained)</t>
  </si>
  <si>
    <t xml:space="preserve">Add: run-rate synergies realised in Year 1</t>
  </si>
  <si>
    <t xml:space="preserve">Less: incremental D&amp;A from intangible step-up</t>
  </si>
  <si>
    <t xml:space="preserve">Less: interest on new acquisition debt</t>
  </si>
  <si>
    <t xml:space="preserve">Less: foregone interest income on cash used to fund the deal</t>
  </si>
  <si>
    <t xml:space="preserve">PRO FORMA PROFIT BEFORE TAX</t>
  </si>
  <si>
    <t xml:space="preserve">Less: tax at group effective rate</t>
  </si>
  <si>
    <t xml:space="preserve">PRO FORMA NET INCOME</t>
  </si>
  <si>
    <t xml:space="preserve">Pro forma diluted shares (Havells existing + new shares issued)</t>
  </si>
  <si>
    <t xml:space="preserve">PRO FORMA EPS (INR)</t>
  </si>
  <si>
    <t xml:space="preserve">ACCRETION / DILUTION SUMMARY</t>
  </si>
  <si>
    <t xml:space="preserve">Year 1, illustrative. This is the single number an M&amp;A banker is asked for first.</t>
  </si>
  <si>
    <t xml:space="preserve">Havells standalone EPS (INR)</t>
  </si>
  <si>
    <t xml:space="preserve">Pro forma combined EPS (INR)</t>
  </si>
  <si>
    <t xml:space="preserve">Accretion / (Dilution)</t>
  </si>
  <si>
    <t xml:space="preserve">READING THIS RESULT</t>
  </si>
  <si>
    <t xml:space="preserve">A negative number means the deal is DILUTIVE: combined Year 1 EPS is lower than Havells would have earned standing alone, even though no value is destroyed strategically. That happens whenever the after-tax cost of the consideration and financing exceeds the after-tax earnings the target contributes -- which is common for a rich-multiple acquisition (IFB trades near 36x trailing earnings) funded partly with debt priced above the target's own earnings yield. A dilutive deal is not automatically a bad deal: strategic rationale (here, fixing Lloyd's competitive scale in white goods) can justify near-term dilution if the acquirer believes synergies or growth will close the gap over time. See the Sensitivity tab for what it would take to break even.</t>
  </si>
  <si>
    <t xml:space="preserve">SENSITIVITY &amp; BREAKEVEN SYNERGIES</t>
  </si>
  <si>
    <t xml:space="preserve">Row B4 drives the Year 1 synergy figure used on the Pro Forma Income Statement tab -- change it directly, or read it off the grid below.</t>
  </si>
  <si>
    <t xml:space="preserve">Year 1 realised synergies (feeds Pro Forma tab)</t>
  </si>
  <si>
    <t xml:space="preserve">GRID: CASH % OF DEAL (columns) x SYNERGY REALISATION (rows) -- Year 1 accretion/(dilution)</t>
  </si>
  <si>
    <t xml:space="preserve">Synergy % \ Cash %</t>
  </si>
  <si>
    <t xml:space="preserve">0%</t>
  </si>
  <si>
    <t xml:space="preserve">25%</t>
  </si>
  <si>
    <t xml:space="preserve">50%</t>
  </si>
  <si>
    <t xml:space="preserve">75%</t>
  </si>
  <si>
    <t xml:space="preserve">100%</t>
  </si>
  <si>
    <t xml:space="preserve">BREAKEVEN SYNERGIES (closed-form)</t>
  </si>
  <si>
    <t xml:space="preserve">Run-rate pre-tax synergies needed to make the base-case deal (100% cash, as structured on Sources &amp; Uses) exactly EPS-neutral in Year 1:</t>
  </si>
  <si>
    <t xml:space="preserve">Required pro forma PBT for EPS neutrality</t>
  </si>
  <si>
    <t xml:space="preserve">Pro forma PBT at zero Year 1 synergies</t>
  </si>
  <si>
    <t xml:space="preserve">Gap to close (= required Year 1 synergy contribution)</t>
  </si>
  <si>
    <t xml:space="preserve">Implied required RUN-RATE synergies (Year 1 gap / realisation %)</t>
  </si>
  <si>
    <t xml:space="preserve">vs. the illustrative run-rate synergy assumption actually used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</si>
</sst>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#,##0.00"/>
    <numFmt numFmtId="168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1" t="s">
        <v>2</v>
      </c>
    </row>
    <row r="5" customFormat="false" ht="105" hidden="false" customHeight="true" outlineLevel="0" collapsed="false">
      <c r="A5" s="3" t="s">
        <v>3</v>
      </c>
      <c r="B5" s="3"/>
    </row>
    <row r="13" customFormat="false" ht="43.5" hidden="false" customHeight="true" outlineLevel="0" collapsed="false">
      <c r="A13" s="4" t="s">
        <v>4</v>
      </c>
      <c r="B13" s="5" t="s">
        <v>5</v>
      </c>
    </row>
    <row r="15" customFormat="false" ht="43.5" hidden="false" customHeight="true" outlineLevel="0" collapsed="false">
      <c r="A15" s="4" t="s">
        <v>6</v>
      </c>
      <c r="B15" s="5" t="s">
        <v>7</v>
      </c>
    </row>
    <row r="17" customFormat="false" ht="43.5" hidden="false" customHeight="true" outlineLevel="0" collapsed="false">
      <c r="A17" s="4" t="s">
        <v>8</v>
      </c>
      <c r="B17" s="5" t="s">
        <v>9</v>
      </c>
    </row>
    <row r="19" customFormat="false" ht="43.5" hidden="false" customHeight="true" outlineLevel="0" collapsed="false">
      <c r="A19" s="4" t="s">
        <v>10</v>
      </c>
      <c r="B19" s="5" t="s">
        <v>11</v>
      </c>
    </row>
    <row r="21" customFormat="false" ht="43.5" hidden="false" customHeight="true" outlineLevel="0" collapsed="false">
      <c r="A21" s="4" t="s">
        <v>12</v>
      </c>
      <c r="B21" s="5" t="s">
        <v>13</v>
      </c>
    </row>
    <row r="23" customFormat="false" ht="15.75" hidden="false" customHeight="true" outlineLevel="0" collapsed="false">
      <c r="A23" s="4" t="s">
        <v>14</v>
      </c>
      <c r="B23" s="5" t="s">
        <v>15</v>
      </c>
    </row>
    <row r="25" customFormat="false" ht="43.5" hidden="false" customHeight="true" outlineLevel="0" collapsed="false">
      <c r="A25" s="4" t="s">
        <v>16</v>
      </c>
      <c r="B25" s="5" t="s">
        <v>17</v>
      </c>
    </row>
    <row r="27" customFormat="false" ht="43.5" hidden="false" customHeight="true" outlineLevel="0" collapsed="false">
      <c r="A27" s="4" t="s">
        <v>18</v>
      </c>
      <c r="B27" s="5" t="s">
        <v>19</v>
      </c>
    </row>
  </sheetData>
  <mergeCells count="1">
    <mergeCell ref="A5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15"/>
    <col collapsed="false" customWidth="true" hidden="false" outlineLevel="0" max="4" min="4" style="0" width="68"/>
    <col collapsed="false" customWidth="true" hidden="false" outlineLevel="0" max="6" min="5" style="0" width="15"/>
  </cols>
  <sheetData>
    <row r="1" customFormat="false" ht="16.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6" t="s">
        <v>22</v>
      </c>
    </row>
    <row r="5" customFormat="false" ht="30" hidden="false" customHeight="true" outlineLevel="0" collapsed="false">
      <c r="A5" s="7" t="s">
        <v>23</v>
      </c>
      <c r="B5" s="8" t="n">
        <v>1784</v>
      </c>
      <c r="D5" s="9" t="s">
        <v>24</v>
      </c>
    </row>
    <row r="6" customFormat="false" ht="15.75" hidden="false" customHeight="true" outlineLevel="0" collapsed="false">
      <c r="A6" s="7" t="s">
        <v>25</v>
      </c>
      <c r="B6" s="8" t="n">
        <v>204</v>
      </c>
      <c r="D6" s="9" t="s">
        <v>26</v>
      </c>
    </row>
    <row r="7" customFormat="false" ht="15.75" hidden="false" customHeight="true" outlineLevel="0" collapsed="false">
      <c r="A7" s="7" t="s">
        <v>27</v>
      </c>
      <c r="B7" s="8" t="n">
        <v>37</v>
      </c>
      <c r="D7" s="9" t="s">
        <v>28</v>
      </c>
    </row>
    <row r="8" customFormat="false" ht="30" hidden="false" customHeight="true" outlineLevel="0" collapsed="false">
      <c r="A8" s="7" t="s">
        <v>29</v>
      </c>
      <c r="B8" s="10" t="n">
        <v>0.252</v>
      </c>
      <c r="D8" s="9" t="s">
        <v>30</v>
      </c>
    </row>
    <row r="9" customFormat="false" ht="15.75" hidden="false" customHeight="true" outlineLevel="0" collapsed="false">
      <c r="A9" s="7" t="s">
        <v>31</v>
      </c>
      <c r="B9" s="8" t="n">
        <v>62.7</v>
      </c>
      <c r="D9" s="9" t="s">
        <v>32</v>
      </c>
    </row>
    <row r="10" customFormat="false" ht="15.75" hidden="false" customHeight="true" outlineLevel="0" collapsed="false">
      <c r="A10" s="7" t="s">
        <v>33</v>
      </c>
      <c r="B10" s="11" t="n">
        <v>1190</v>
      </c>
      <c r="D10" s="9" t="s">
        <v>34</v>
      </c>
    </row>
    <row r="12" customFormat="false" ht="15" hidden="false" customHeight="false" outlineLevel="0" collapsed="false">
      <c r="A12" s="6" t="s">
        <v>35</v>
      </c>
    </row>
    <row r="13" customFormat="false" ht="15.75" hidden="false" customHeight="true" outlineLevel="0" collapsed="false">
      <c r="A13" s="7" t="s">
        <v>36</v>
      </c>
      <c r="B13" s="8" t="n">
        <v>192.45</v>
      </c>
      <c r="D13" s="9" t="s">
        <v>37</v>
      </c>
    </row>
    <row r="14" customFormat="false" ht="15.75" hidden="false" customHeight="true" outlineLevel="0" collapsed="false">
      <c r="A14" s="7" t="s">
        <v>38</v>
      </c>
      <c r="B14" s="8" t="n">
        <v>143.56</v>
      </c>
      <c r="D14" s="9" t="s">
        <v>39</v>
      </c>
    </row>
    <row r="15" customFormat="false" ht="15" hidden="false" customHeight="false" outlineLevel="0" collapsed="false">
      <c r="A15" s="7" t="s">
        <v>40</v>
      </c>
      <c r="B15" s="12" t="n">
        <f aca="false">1-B14/B13</f>
        <v>0.25404001039231</v>
      </c>
    </row>
    <row r="16" customFormat="false" ht="43.5" hidden="false" customHeight="true" outlineLevel="0" collapsed="false">
      <c r="A16" s="7" t="s">
        <v>41</v>
      </c>
      <c r="B16" s="8" t="n">
        <v>20</v>
      </c>
      <c r="D16" s="9" t="s">
        <v>42</v>
      </c>
    </row>
    <row r="17" customFormat="false" ht="15" hidden="false" customHeight="false" outlineLevel="0" collapsed="false">
      <c r="A17" s="7" t="s">
        <v>43</v>
      </c>
      <c r="B17" s="13" t="n">
        <f aca="false">B13+B16</f>
        <v>212.45</v>
      </c>
    </row>
    <row r="18" customFormat="false" ht="15.75" hidden="false" customHeight="true" outlineLevel="0" collapsed="false">
      <c r="A18" s="7" t="s">
        <v>31</v>
      </c>
      <c r="B18" s="8" t="n">
        <v>4.05</v>
      </c>
      <c r="D18" s="9" t="s">
        <v>44</v>
      </c>
    </row>
    <row r="19" customFormat="false" ht="30" hidden="false" customHeight="true" outlineLevel="0" collapsed="false">
      <c r="A19" s="7" t="s">
        <v>33</v>
      </c>
      <c r="B19" s="11" t="n">
        <v>1300</v>
      </c>
      <c r="D19" s="9" t="s">
        <v>45</v>
      </c>
    </row>
    <row r="21" customFormat="false" ht="15" hidden="false" customHeight="false" outlineLevel="0" collapsed="false">
      <c r="A21" s="6" t="s">
        <v>46</v>
      </c>
    </row>
    <row r="22" customFormat="false" ht="30" hidden="false" customHeight="true" outlineLevel="0" collapsed="false">
      <c r="A22" s="7" t="s">
        <v>47</v>
      </c>
      <c r="B22" s="10" t="n">
        <v>0.25</v>
      </c>
      <c r="D22" s="9" t="s">
        <v>48</v>
      </c>
    </row>
    <row r="23" customFormat="false" ht="15" hidden="false" customHeight="false" outlineLevel="0" collapsed="false">
      <c r="A23" s="7" t="s">
        <v>49</v>
      </c>
      <c r="B23" s="14" t="n">
        <f aca="false">B19*(1+B22)</f>
        <v>1625</v>
      </c>
    </row>
    <row r="24" customFormat="false" ht="30" hidden="false" customHeight="true" outlineLevel="0" collapsed="false">
      <c r="A24" s="7" t="s">
        <v>50</v>
      </c>
      <c r="B24" s="10" t="n">
        <v>1</v>
      </c>
      <c r="D24" s="9" t="s">
        <v>51</v>
      </c>
    </row>
    <row r="25" customFormat="false" ht="30" hidden="false" customHeight="true" outlineLevel="0" collapsed="false">
      <c r="A25" s="7" t="s">
        <v>52</v>
      </c>
      <c r="B25" s="8" t="n">
        <v>1500</v>
      </c>
      <c r="D25" s="9" t="s">
        <v>53</v>
      </c>
    </row>
    <row r="26" customFormat="false" ht="43.5" hidden="false" customHeight="true" outlineLevel="0" collapsed="false">
      <c r="A26" s="7" t="s">
        <v>54</v>
      </c>
      <c r="B26" s="10" t="n">
        <v>0.095</v>
      </c>
      <c r="D26" s="9" t="s">
        <v>55</v>
      </c>
    </row>
    <row r="27" customFormat="false" ht="15.75" hidden="false" customHeight="true" outlineLevel="0" collapsed="false">
      <c r="A27" s="7" t="s">
        <v>56</v>
      </c>
      <c r="B27" s="10" t="n">
        <v>0.065</v>
      </c>
      <c r="D27" s="9" t="s">
        <v>57</v>
      </c>
    </row>
    <row r="28" customFormat="false" ht="15.75" hidden="false" customHeight="true" outlineLevel="0" collapsed="false">
      <c r="A28" s="7" t="s">
        <v>58</v>
      </c>
      <c r="B28" s="10" t="n">
        <v>0.015</v>
      </c>
      <c r="D28" s="9" t="s">
        <v>59</v>
      </c>
    </row>
    <row r="30" customFormat="false" ht="15" hidden="false" customHeight="false" outlineLevel="0" collapsed="false">
      <c r="A30" s="6" t="s">
        <v>60</v>
      </c>
    </row>
    <row r="31" customFormat="false" ht="43.5" hidden="false" customHeight="true" outlineLevel="0" collapsed="false">
      <c r="A31" s="7" t="s">
        <v>61</v>
      </c>
      <c r="B31" s="10" t="n">
        <v>0.15</v>
      </c>
      <c r="D31" s="9" t="s">
        <v>62</v>
      </c>
    </row>
    <row r="32" customFormat="false" ht="15.75" hidden="false" customHeight="true" outlineLevel="0" collapsed="false">
      <c r="A32" s="7" t="s">
        <v>63</v>
      </c>
      <c r="B32" s="8" t="n">
        <v>10</v>
      </c>
      <c r="D32" s="9" t="s">
        <v>64</v>
      </c>
    </row>
    <row r="33" customFormat="false" ht="43.5" hidden="false" customHeight="true" outlineLevel="0" collapsed="false">
      <c r="A33" s="7" t="s">
        <v>65</v>
      </c>
      <c r="B33" s="15" t="s">
        <v>66</v>
      </c>
      <c r="D33" s="9" t="s">
        <v>67</v>
      </c>
    </row>
    <row r="35" customFormat="false" ht="15" hidden="false" customHeight="false" outlineLevel="0" collapsed="false">
      <c r="A35" s="6" t="s">
        <v>68</v>
      </c>
    </row>
    <row r="36" customFormat="false" ht="43.5" hidden="false" customHeight="true" outlineLevel="0" collapsed="false">
      <c r="A36" s="7" t="s">
        <v>69</v>
      </c>
      <c r="B36" s="8" t="n">
        <v>100</v>
      </c>
      <c r="D36" s="9" t="s">
        <v>70</v>
      </c>
    </row>
    <row r="37" customFormat="false" ht="30" hidden="false" customHeight="true" outlineLevel="0" collapsed="false">
      <c r="A37" s="7" t="s">
        <v>71</v>
      </c>
      <c r="B37" s="10" t="n">
        <v>0.5</v>
      </c>
      <c r="D37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6" t="s">
        <v>75</v>
      </c>
    </row>
    <row r="5" customFormat="false" ht="15" hidden="false" customHeight="false" outlineLevel="0" collapsed="false">
      <c r="A5" s="16" t="s">
        <v>76</v>
      </c>
      <c r="B5" s="17" t="n">
        <f aca="false">Assumptions!$B$18</f>
        <v>4.05</v>
      </c>
    </row>
    <row r="6" customFormat="false" ht="15" hidden="false" customHeight="false" outlineLevel="0" collapsed="false">
      <c r="A6" s="16" t="s">
        <v>77</v>
      </c>
      <c r="B6" s="18" t="n">
        <f aca="false">Assumptions!$B$23</f>
        <v>1625</v>
      </c>
    </row>
    <row r="7" customFormat="false" ht="15" hidden="false" customHeight="false" outlineLevel="0" collapsed="false">
      <c r="A7" s="4" t="s">
        <v>78</v>
      </c>
      <c r="B7" s="13" t="n">
        <f aca="false">B5*B6</f>
        <v>6581.25</v>
      </c>
    </row>
    <row r="8" customFormat="false" ht="15" hidden="false" customHeight="false" outlineLevel="0" collapsed="false">
      <c r="A8" s="16" t="s">
        <v>79</v>
      </c>
      <c r="B8" s="19" t="n">
        <f aca="false">B7*Assumptions!$B$28</f>
        <v>98.71875</v>
      </c>
    </row>
    <row r="9" customFormat="false" ht="15" hidden="false" customHeight="false" outlineLevel="0" collapsed="false">
      <c r="A9" s="4" t="s">
        <v>80</v>
      </c>
      <c r="B9" s="20" t="n">
        <f aca="false">B7+B8</f>
        <v>6679.96875</v>
      </c>
    </row>
    <row r="12" customFormat="false" ht="15" hidden="false" customHeight="false" outlineLevel="0" collapsed="false">
      <c r="A12" s="6" t="s">
        <v>81</v>
      </c>
    </row>
    <row r="13" customFormat="false" ht="15" hidden="false" customHeight="false" outlineLevel="0" collapsed="false">
      <c r="A13" s="16" t="s">
        <v>50</v>
      </c>
      <c r="B13" s="21" t="n">
        <f aca="false">Assumptions!$B$24</f>
        <v>1</v>
      </c>
    </row>
    <row r="14" customFormat="false" ht="15" hidden="false" customHeight="false" outlineLevel="0" collapsed="false">
      <c r="A14" s="16" t="s">
        <v>82</v>
      </c>
      <c r="B14" s="19" t="n">
        <f aca="false">B9*B13</f>
        <v>6679.96875</v>
      </c>
    </row>
    <row r="15" customFormat="false" ht="15" hidden="false" customHeight="false" outlineLevel="0" collapsed="false">
      <c r="A15" s="16" t="s">
        <v>83</v>
      </c>
      <c r="B15" s="19" t="n">
        <f aca="false">MIN(Assumptions!$B$25,B14)</f>
        <v>1500</v>
      </c>
    </row>
    <row r="16" customFormat="false" ht="15" hidden="false" customHeight="false" outlineLevel="0" collapsed="false">
      <c r="A16" s="4" t="s">
        <v>84</v>
      </c>
      <c r="B16" s="13" t="n">
        <f aca="false">B14-B15</f>
        <v>5179.96875</v>
      </c>
    </row>
    <row r="17" customFormat="false" ht="15" hidden="false" customHeight="false" outlineLevel="0" collapsed="false">
      <c r="A17" s="16" t="s">
        <v>85</v>
      </c>
      <c r="B17" s="19" t="n">
        <f aca="false">B9*(1-B13)</f>
        <v>0</v>
      </c>
    </row>
    <row r="18" customFormat="false" ht="15" hidden="false" customHeight="false" outlineLevel="0" collapsed="false">
      <c r="A18" s="16" t="s">
        <v>86</v>
      </c>
      <c r="B18" s="19" t="n">
        <f aca="false">B17/Assumptions!$B$10</f>
        <v>0</v>
      </c>
    </row>
    <row r="19" customFormat="false" ht="15" hidden="false" customHeight="false" outlineLevel="0" collapsed="false">
      <c r="A19" s="4" t="s">
        <v>87</v>
      </c>
      <c r="B19" s="20" t="n">
        <f aca="false">B15+B16+B17</f>
        <v>6679.96875</v>
      </c>
    </row>
    <row r="21" customFormat="false" ht="15" hidden="false" customHeight="false" outlineLevel="0" collapsed="false">
      <c r="A21" s="4" t="s">
        <v>88</v>
      </c>
      <c r="B21" s="20" t="n">
        <f aca="false">B19-B9</f>
        <v>0</v>
      </c>
    </row>
    <row r="24" customFormat="false" ht="15" hidden="false" customHeight="false" outlineLevel="0" collapsed="false">
      <c r="A24" s="4" t="s">
        <v>89</v>
      </c>
      <c r="B24" s="22" t="n">
        <f aca="false">B16/2213</f>
        <v>2.34069984184365</v>
      </c>
    </row>
    <row r="25" customFormat="false" ht="15" hidden="false" customHeight="false" outlineLevel="0" collapsed="false">
      <c r="A25" s="4" t="s">
        <v>90</v>
      </c>
      <c r="B25" s="23" t="n">
        <f aca="false">B6/Assumptions!$B$19-1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16" t="s">
        <v>78</v>
      </c>
      <c r="B4" s="17" t="n">
        <f aca="false">'Sources &amp; Uses'!$B$7</f>
        <v>6581.25</v>
      </c>
    </row>
    <row r="5" customFormat="false" ht="15" hidden="false" customHeight="false" outlineLevel="0" collapsed="false">
      <c r="A5" s="16" t="s">
        <v>92</v>
      </c>
      <c r="B5" s="21" t="n">
        <f aca="false">Assumptions!$B$31</f>
        <v>0.15</v>
      </c>
    </row>
    <row r="6" customFormat="false" ht="15" hidden="false" customHeight="false" outlineLevel="0" collapsed="false">
      <c r="A6" s="4" t="s">
        <v>93</v>
      </c>
      <c r="B6" s="13" t="n">
        <f aca="false">B4*B5</f>
        <v>987.1875</v>
      </c>
    </row>
    <row r="7" customFormat="false" ht="15" hidden="false" customHeight="false" outlineLevel="0" collapsed="false">
      <c r="A7" s="4" t="s">
        <v>94</v>
      </c>
      <c r="B7" s="13" t="n">
        <f aca="false">B4-B6</f>
        <v>5594.0625</v>
      </c>
    </row>
    <row r="9" customFormat="false" ht="15" hidden="false" customHeight="false" outlineLevel="0" collapsed="false">
      <c r="A9" s="16" t="s">
        <v>95</v>
      </c>
      <c r="B9" s="17" t="n">
        <f aca="false">Assumptions!$B$32</f>
        <v>10</v>
      </c>
    </row>
    <row r="10" customFormat="false" ht="15" hidden="false" customHeight="false" outlineLevel="0" collapsed="false">
      <c r="A10" s="4" t="s">
        <v>96</v>
      </c>
      <c r="B10" s="13" t="n">
        <f aca="false">B6/B9</f>
        <v>98.71875</v>
      </c>
    </row>
    <row r="11" customFormat="false" ht="15" hidden="false" customHeight="false" outlineLevel="0" collapsed="false">
      <c r="A11" s="16" t="s">
        <v>97</v>
      </c>
      <c r="B11" s="24" t="str">
        <f aca="false">Assumptions!$B$33</f>
        <v>No</v>
      </c>
    </row>
    <row r="12" customFormat="false" ht="15" hidden="false" customHeight="false" outlineLevel="0" collapsed="false">
      <c r="A12" s="4" t="s">
        <v>98</v>
      </c>
    </row>
    <row r="13" customFormat="false" ht="75" hidden="false" customHeight="true" outlineLevel="0" collapsed="false">
      <c r="A13" s="25" t="s">
        <v>99</v>
      </c>
      <c r="B13" s="25"/>
      <c r="C13" s="25"/>
      <c r="D13" s="25"/>
    </row>
  </sheetData>
  <mergeCells count="1"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16" t="s">
        <v>102</v>
      </c>
      <c r="B4" s="19" t="n">
        <f aca="false">Assumptions!$B$5</f>
        <v>1784</v>
      </c>
    </row>
    <row r="5" customFormat="false" ht="15" hidden="false" customHeight="false" outlineLevel="0" collapsed="false">
      <c r="A5" s="16" t="s">
        <v>103</v>
      </c>
      <c r="B5" s="19" t="n">
        <f aca="false">Assumptions!$B$17</f>
        <v>212.45</v>
      </c>
    </row>
    <row r="6" customFormat="false" ht="15" hidden="false" customHeight="false" outlineLevel="0" collapsed="false">
      <c r="A6" s="4" t="s">
        <v>104</v>
      </c>
      <c r="B6" s="13" t="n">
        <f aca="false">B4+B5</f>
        <v>1996.45</v>
      </c>
    </row>
    <row r="8" customFormat="false" ht="15" hidden="false" customHeight="false" outlineLevel="0" collapsed="false">
      <c r="A8" s="16" t="s">
        <v>105</v>
      </c>
      <c r="B8" s="19" t="n">
        <f aca="false">Assumptions!$B$6</f>
        <v>204</v>
      </c>
    </row>
    <row r="9" customFormat="false" ht="15" hidden="false" customHeight="false" outlineLevel="0" collapsed="false">
      <c r="A9" s="16" t="s">
        <v>106</v>
      </c>
      <c r="B9" s="19" t="n">
        <f aca="false">-Assumptions!$B$7</f>
        <v>-37</v>
      </c>
    </row>
    <row r="10" customFormat="false" ht="15" hidden="false" customHeight="false" outlineLevel="0" collapsed="false">
      <c r="A10" s="16" t="s">
        <v>107</v>
      </c>
      <c r="B10" s="19" t="n">
        <f aca="false">-Assumptions!$B$16</f>
        <v>-20</v>
      </c>
    </row>
    <row r="12" customFormat="false" ht="15" hidden="false" customHeight="false" outlineLevel="0" collapsed="false">
      <c r="A12" s="16" t="s">
        <v>108</v>
      </c>
      <c r="B12" s="19" t="n">
        <f aca="false">Sensitivity!$B$4</f>
        <v>50</v>
      </c>
    </row>
    <row r="13" customFormat="false" ht="15" hidden="false" customHeight="false" outlineLevel="0" collapsed="false">
      <c r="A13" s="16" t="s">
        <v>109</v>
      </c>
      <c r="B13" s="19" t="n">
        <f aca="false">-'Purchase Price Allocation'!$B$10</f>
        <v>-98.71875</v>
      </c>
    </row>
    <row r="14" customFormat="false" ht="15" hidden="false" customHeight="false" outlineLevel="0" collapsed="false">
      <c r="A14" s="16" t="s">
        <v>110</v>
      </c>
      <c r="B14" s="19" t="n">
        <f aca="false">-'Sources &amp; Uses'!$B$16*Assumptions!$B$26</f>
        <v>-492.09703125</v>
      </c>
    </row>
    <row r="15" customFormat="false" ht="15" hidden="false" customHeight="false" outlineLevel="0" collapsed="false">
      <c r="A15" s="16" t="s">
        <v>111</v>
      </c>
      <c r="B15" s="19" t="n">
        <f aca="false">-'Sources &amp; Uses'!$B$15*Assumptions!$B$27</f>
        <v>-97.5</v>
      </c>
    </row>
    <row r="17" customFormat="false" ht="15" hidden="false" customHeight="false" outlineLevel="0" collapsed="false">
      <c r="A17" s="4" t="s">
        <v>112</v>
      </c>
      <c r="B17" s="13" t="n">
        <f aca="false">SUM(B6,B8:B10,B12:B15)</f>
        <v>1505.13421875</v>
      </c>
    </row>
    <row r="18" customFormat="false" ht="15" hidden="false" customHeight="false" outlineLevel="0" collapsed="false">
      <c r="A18" s="16" t="s">
        <v>113</v>
      </c>
      <c r="B18" s="19" t="n">
        <f aca="false">-B17*Assumptions!$B$8</f>
        <v>-379.293823125</v>
      </c>
    </row>
    <row r="19" customFormat="false" ht="15" hidden="false" customHeight="false" outlineLevel="0" collapsed="false">
      <c r="A19" s="4" t="s">
        <v>114</v>
      </c>
      <c r="B19" s="13" t="n">
        <f aca="false">B17+B18</f>
        <v>1125.840395625</v>
      </c>
    </row>
    <row r="21" customFormat="false" ht="15" hidden="false" customHeight="false" outlineLevel="0" collapsed="false">
      <c r="A21" s="16" t="s">
        <v>115</v>
      </c>
      <c r="B21" s="19" t="n">
        <f aca="false">Assumptions!$B$9+'Sources &amp; Uses'!$B$18</f>
        <v>62.7</v>
      </c>
    </row>
    <row r="22" customFormat="false" ht="15" hidden="false" customHeight="false" outlineLevel="0" collapsed="false">
      <c r="A22" s="4" t="s">
        <v>116</v>
      </c>
      <c r="B22" s="14" t="n">
        <f aca="false">B19/B21</f>
        <v>17.9559871710526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4" t="s">
        <v>119</v>
      </c>
      <c r="B4" s="14" t="n">
        <f aca="false">(Assumptions!$B$5+Assumptions!$B$6-Assumptions!$B$7)*(1-Assumptions!$B$8)/Assumptions!$B$9</f>
        <v>23.2750877192982</v>
      </c>
    </row>
    <row r="5" customFormat="false" ht="15" hidden="false" customHeight="false" outlineLevel="0" collapsed="false">
      <c r="A5" s="4" t="s">
        <v>120</v>
      </c>
      <c r="B5" s="14" t="n">
        <f aca="false">'Pro Forma Income Statement'!$B$22</f>
        <v>17.9559871710526</v>
      </c>
    </row>
    <row r="6" customFormat="false" ht="15" hidden="false" customHeight="false" outlineLevel="0" collapsed="false">
      <c r="A6" s="4" t="s">
        <v>121</v>
      </c>
      <c r="B6" s="26" t="n">
        <f aca="false">B5/B4-1</f>
        <v>-0.228531922731932</v>
      </c>
    </row>
    <row r="9" customFormat="false" ht="15" hidden="false" customHeight="false" outlineLevel="0" collapsed="false">
      <c r="A9" s="4" t="s">
        <v>122</v>
      </c>
    </row>
    <row r="10" customFormat="false" ht="105" hidden="false" customHeight="true" outlineLevel="0" collapsed="false">
      <c r="A10" s="25" t="s">
        <v>123</v>
      </c>
      <c r="B10" s="25"/>
      <c r="C10" s="25"/>
      <c r="D10" s="25"/>
      <c r="E10" s="25"/>
    </row>
  </sheetData>
  <mergeCells count="1"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4" t="s">
        <v>126</v>
      </c>
      <c r="B4" s="13" t="n">
        <f aca="false">Assumptions!$B$36*Assumptions!$B$37</f>
        <v>50</v>
      </c>
    </row>
    <row r="7" customFormat="false" ht="15" hidden="false" customHeight="false" outlineLevel="0" collapsed="false">
      <c r="A7" s="4" t="s">
        <v>127</v>
      </c>
    </row>
    <row r="9" customFormat="false" ht="15" hidden="false" customHeight="false" outlineLevel="0" collapsed="false">
      <c r="B9" s="27" t="s">
        <v>128</v>
      </c>
      <c r="C9" s="27" t="s">
        <v>129</v>
      </c>
      <c r="D9" s="27" t="s">
        <v>130</v>
      </c>
      <c r="E9" s="27" t="s">
        <v>131</v>
      </c>
      <c r="F9" s="27" t="s">
        <v>132</v>
      </c>
      <c r="G9" s="27" t="s">
        <v>133</v>
      </c>
    </row>
    <row r="10" customFormat="false" ht="15" hidden="false" customHeight="false" outlineLevel="0" collapsed="false">
      <c r="B10" s="6" t="s">
        <v>129</v>
      </c>
      <c r="C10" s="28" t="n">
        <f aca="false">IFERROR((((Assumptions!$B$5+Assumptions!$B$17+Assumptions!$B$6-Assumptions!$B$7-Assumptions!$B$16+(Assumptions!$B$36*0)-'Purchase Price Allocation'!$B$10-(('Sources &amp; Uses'!$B$9*0)-MIN(Assumptions!$B$25,('Sources &amp; Uses'!$B$9*0)))*Assumptions!$B$26-MIN(Assumptions!$B$25,('Sources &amp; Uses'!$B$9*0))*Assumptions!$B$27)*(1-Assumptions!$B$8))/(Assumptions!$B$9+(('Sources &amp; Uses'!$B$9*(1-0))/Assumptions!$B$10)))/'Accretion-Dilution'!$B$4-1,NA())</f>
        <v>-0.0380766138713311</v>
      </c>
      <c r="D10" s="28" t="n">
        <f aca="false">IFERROR((((Assumptions!$B$5+Assumptions!$B$17+Assumptions!$B$6-Assumptions!$B$7-Assumptions!$B$16+(Assumptions!$B$36*0)-'Purchase Price Allocation'!$B$10-(('Sources &amp; Uses'!$B$9*0.25)-MIN(Assumptions!$B$25,('Sources &amp; Uses'!$B$9*0.25)))*Assumptions!$B$26-MIN(Assumptions!$B$25,('Sources &amp; Uses'!$B$9*0.25))*Assumptions!$B$27)*(1-Assumptions!$B$8))/(Assumptions!$B$9+(('Sources &amp; Uses'!$B$9*(1-0.25))/Assumptions!$B$10)))/'Accretion-Dilution'!$B$4-1,NA())</f>
        <v>-0.0724879983659192</v>
      </c>
      <c r="E10" s="28" t="n">
        <f aca="false">IFERROR((((Assumptions!$B$5+Assumptions!$B$17+Assumptions!$B$6-Assumptions!$B$7-Assumptions!$B$16+(Assumptions!$B$36*0)-'Purchase Price Allocation'!$B$10-(('Sources &amp; Uses'!$B$9*0.5)-MIN(Assumptions!$B$25,('Sources &amp; Uses'!$B$9*0.5)))*Assumptions!$B$26-MIN(Assumptions!$B$25,('Sources &amp; Uses'!$B$9*0.5))*Assumptions!$B$27)*(1-Assumptions!$B$8))/(Assumptions!$B$9+(('Sources &amp; Uses'!$B$9*(1-0.5))/Assumptions!$B$10)))/'Accretion-Dilution'!$B$4-1,NA())</f>
        <v>-0.13045062238385</v>
      </c>
      <c r="F10" s="28" t="n">
        <f aca="false">IFERROR((((Assumptions!$B$5+Assumptions!$B$17+Assumptions!$B$6-Assumptions!$B$7-Assumptions!$B$16+(Assumptions!$B$36*0)-'Purchase Price Allocation'!$B$10-(('Sources &amp; Uses'!$B$9*0.75)-MIN(Assumptions!$B$25,('Sources &amp; Uses'!$B$9*0.75)))*Assumptions!$B$26-MIN(Assumptions!$B$25,('Sources &amp; Uses'!$B$9*0.75))*Assumptions!$B$27)*(1-Assumptions!$B$8))/(Assumptions!$B$9+(('Sources &amp; Uses'!$B$9*(1-0.75))/Assumptions!$B$10)))/'Accretion-Dilution'!$B$4-1,NA())</f>
        <v>-0.190951089412423</v>
      </c>
      <c r="G10" s="28" t="n">
        <f aca="false">IFERROR((((Assumptions!$B$5+Assumptions!$B$17+Assumptions!$B$6-Assumptions!$B$7-Assumptions!$B$16+(Assumptions!$B$36*0)-'Purchase Price Allocation'!$B$10-(('Sources &amp; Uses'!$B$9*1)-MIN(Assumptions!$B$25,('Sources &amp; Uses'!$B$9*1)))*Assumptions!$B$26-MIN(Assumptions!$B$25,('Sources &amp; Uses'!$B$9*1))*Assumptions!$B$27)*(1-Assumptions!$B$8))/(Assumptions!$B$9+(('Sources &amp; Uses'!$B$9*(1-1))/Assumptions!$B$10)))/'Accretion-Dilution'!$B$4-1,NA())</f>
        <v>-0.254159805868785</v>
      </c>
    </row>
    <row r="11" customFormat="false" ht="15" hidden="false" customHeight="false" outlineLevel="0" collapsed="false">
      <c r="B11" s="6" t="s">
        <v>130</v>
      </c>
      <c r="C11" s="28" t="n">
        <f aca="false">IFERROR((((Assumptions!$B$5+Assumptions!$B$17+Assumptions!$B$6-Assumptions!$B$7-Assumptions!$B$16+(Assumptions!$B$36*0.25)-'Purchase Price Allocation'!$B$10-(('Sources &amp; Uses'!$B$9*0)-MIN(Assumptions!$B$25,('Sources &amp; Uses'!$B$9*0)))*Assumptions!$B$26-MIN(Assumptions!$B$25,('Sources &amp; Uses'!$B$9*0))*Assumptions!$B$27)*(1-Assumptions!$B$8))/(Assumptions!$B$9+(('Sources &amp; Uses'!$B$9*(1-0))/Assumptions!$B$10)))/'Accretion-Dilution'!$B$4-1,NA())</f>
        <v>-0.0263156136649632</v>
      </c>
      <c r="D11" s="28" t="n">
        <f aca="false">IFERROR((((Assumptions!$B$5+Assumptions!$B$17+Assumptions!$B$6-Assumptions!$B$7-Assumptions!$B$16+(Assumptions!$B$36*0.25)-'Purchase Price Allocation'!$B$10-(('Sources &amp; Uses'!$B$9*0.25)-MIN(Assumptions!$B$25,('Sources &amp; Uses'!$B$9*0.25)))*Assumptions!$B$26-MIN(Assumptions!$B$25,('Sources &amp; Uses'!$B$9*0.25))*Assumptions!$B$27)*(1-Assumptions!$B$8))/(Assumptions!$B$9+(('Sources &amp; Uses'!$B$9*(1-0.25))/Assumptions!$B$10)))/'Accretion-Dilution'!$B$4-1,NA())</f>
        <v>-0.060480325913552</v>
      </c>
      <c r="E11" s="28" t="n">
        <f aca="false">IFERROR((((Assumptions!$B$5+Assumptions!$B$17+Assumptions!$B$6-Assumptions!$B$7-Assumptions!$B$16+(Assumptions!$B$36*0.25)-'Purchase Price Allocation'!$B$10-(('Sources &amp; Uses'!$B$9*0.5)-MIN(Assumptions!$B$25,('Sources &amp; Uses'!$B$9*0.5)))*Assumptions!$B$26-MIN(Assumptions!$B$25,('Sources &amp; Uses'!$B$9*0.5))*Assumptions!$B$27)*(1-Assumptions!$B$8))/(Assumptions!$B$9+(('Sources &amp; Uses'!$B$9*(1-0.5))/Assumptions!$B$10)))/'Accretion-Dilution'!$B$4-1,NA())</f>
        <v>-0.118185708732236</v>
      </c>
      <c r="F11" s="28" t="n">
        <f aca="false">IFERROR((((Assumptions!$B$5+Assumptions!$B$17+Assumptions!$B$6-Assumptions!$B$7-Assumptions!$B$16+(Assumptions!$B$36*0.25)-'Purchase Price Allocation'!$B$10-(('Sources &amp; Uses'!$B$9*0.75)-MIN(Assumptions!$B$25,('Sources &amp; Uses'!$B$9*0.75)))*Assumptions!$B$26-MIN(Assumptions!$B$25,('Sources &amp; Uses'!$B$9*0.75))*Assumptions!$B$27)*(1-Assumptions!$B$8))/(Assumptions!$B$9+(('Sources &amp; Uses'!$B$9*(1-0.75))/Assumptions!$B$10)))/'Accretion-Dilution'!$B$4-1,NA())</f>
        <v>-0.178417671479695</v>
      </c>
      <c r="G11" s="28" t="n">
        <f aca="false">IFERROR((((Assumptions!$B$5+Assumptions!$B$17+Assumptions!$B$6-Assumptions!$B$7-Assumptions!$B$16+(Assumptions!$B$36*0.25)-'Purchase Price Allocation'!$B$10-(('Sources &amp; Uses'!$B$9*1)-MIN(Assumptions!$B$25,('Sources &amp; Uses'!$B$9*1)))*Assumptions!$B$26-MIN(Assumptions!$B$25,('Sources &amp; Uses'!$B$9*1))*Assumptions!$B$27)*(1-Assumptions!$B$8))/(Assumptions!$B$9+(('Sources &amp; Uses'!$B$9*(1-1))/Assumptions!$B$10)))/'Accretion-Dilution'!$B$4-1,NA())</f>
        <v>-0.241345864300359</v>
      </c>
    </row>
    <row r="12" customFormat="false" ht="15" hidden="false" customHeight="false" outlineLevel="0" collapsed="false">
      <c r="B12" s="6" t="s">
        <v>131</v>
      </c>
      <c r="C12" s="28" t="n">
        <f aca="false">IFERROR((((Assumptions!$B$5+Assumptions!$B$17+Assumptions!$B$6-Assumptions!$B$7-Assumptions!$B$16+(Assumptions!$B$36*0.5)-'Purchase Price Allocation'!$B$10-(('Sources &amp; Uses'!$B$9*0)-MIN(Assumptions!$B$25,('Sources &amp; Uses'!$B$9*0)))*Assumptions!$B$26-MIN(Assumptions!$B$25,('Sources &amp; Uses'!$B$9*0))*Assumptions!$B$27)*(1-Assumptions!$B$8))/(Assumptions!$B$9+(('Sources &amp; Uses'!$B$9*(1-0))/Assumptions!$B$10)))/'Accretion-Dilution'!$B$4-1,NA())</f>
        <v>-0.0145546134585954</v>
      </c>
      <c r="D12" s="28" t="n">
        <f aca="false">IFERROR((((Assumptions!$B$5+Assumptions!$B$17+Assumptions!$B$6-Assumptions!$B$7-Assumptions!$B$16+(Assumptions!$B$36*0.5)-'Purchase Price Allocation'!$B$10-(('Sources &amp; Uses'!$B$9*0.25)-MIN(Assumptions!$B$25,('Sources &amp; Uses'!$B$9*0.25)))*Assumptions!$B$26-MIN(Assumptions!$B$25,('Sources &amp; Uses'!$B$9*0.25))*Assumptions!$B$27)*(1-Assumptions!$B$8))/(Assumptions!$B$9+(('Sources &amp; Uses'!$B$9*(1-0.25))/Assumptions!$B$10)))/'Accretion-Dilution'!$B$4-1,NA())</f>
        <v>-0.0484726534611849</v>
      </c>
      <c r="E12" s="28" t="n">
        <f aca="false">IFERROR((((Assumptions!$B$5+Assumptions!$B$17+Assumptions!$B$6-Assumptions!$B$7-Assumptions!$B$16+(Assumptions!$B$36*0.5)-'Purchase Price Allocation'!$B$10-(('Sources &amp; Uses'!$B$9*0.5)-MIN(Assumptions!$B$25,('Sources &amp; Uses'!$B$9*0.5)))*Assumptions!$B$26-MIN(Assumptions!$B$25,('Sources &amp; Uses'!$B$9*0.5))*Assumptions!$B$27)*(1-Assumptions!$B$8))/(Assumptions!$B$9+(('Sources &amp; Uses'!$B$9*(1-0.5))/Assumptions!$B$10)))/'Accretion-Dilution'!$B$4-1,NA())</f>
        <v>-0.105920795080622</v>
      </c>
      <c r="F12" s="28" t="n">
        <f aca="false">IFERROR((((Assumptions!$B$5+Assumptions!$B$17+Assumptions!$B$6-Assumptions!$B$7-Assumptions!$B$16+(Assumptions!$B$36*0.5)-'Purchase Price Allocation'!$B$10-(('Sources &amp; Uses'!$B$9*0.75)-MIN(Assumptions!$B$25,('Sources &amp; Uses'!$B$9*0.75)))*Assumptions!$B$26-MIN(Assumptions!$B$25,('Sources &amp; Uses'!$B$9*0.75))*Assumptions!$B$27)*(1-Assumptions!$B$8))/(Assumptions!$B$9+(('Sources &amp; Uses'!$B$9*(1-0.75))/Assumptions!$B$10)))/'Accretion-Dilution'!$B$4-1,NA())</f>
        <v>-0.165884253546966</v>
      </c>
      <c r="G12" s="28" t="n">
        <f aca="false">IFERROR((((Assumptions!$B$5+Assumptions!$B$17+Assumptions!$B$6-Assumptions!$B$7-Assumptions!$B$16+(Assumptions!$B$36*0.5)-'Purchase Price Allocation'!$B$10-(('Sources &amp; Uses'!$B$9*1)-MIN(Assumptions!$B$25,('Sources &amp; Uses'!$B$9*1)))*Assumptions!$B$26-MIN(Assumptions!$B$25,('Sources &amp; Uses'!$B$9*1))*Assumptions!$B$27)*(1-Assumptions!$B$8))/(Assumptions!$B$9+(('Sources &amp; Uses'!$B$9*(1-1))/Assumptions!$B$10)))/'Accretion-Dilution'!$B$4-1,NA())</f>
        <v>-0.228531922731932</v>
      </c>
    </row>
    <row r="13" customFormat="false" ht="15" hidden="false" customHeight="false" outlineLevel="0" collapsed="false">
      <c r="B13" s="6" t="s">
        <v>132</v>
      </c>
      <c r="C13" s="28" t="n">
        <f aca="false">IFERROR((((Assumptions!$B$5+Assumptions!$B$17+Assumptions!$B$6-Assumptions!$B$7-Assumptions!$B$16+(Assumptions!$B$36*0.75)-'Purchase Price Allocation'!$B$10-(('Sources &amp; Uses'!$B$9*0)-MIN(Assumptions!$B$25,('Sources &amp; Uses'!$B$9*0)))*Assumptions!$B$26-MIN(Assumptions!$B$25,('Sources &amp; Uses'!$B$9*0))*Assumptions!$B$27)*(1-Assumptions!$B$8))/(Assumptions!$B$9+(('Sources &amp; Uses'!$B$9*(1-0))/Assumptions!$B$10)))/'Accretion-Dilution'!$B$4-1,NA())</f>
        <v>-0.00279361325222749</v>
      </c>
      <c r="D13" s="28" t="n">
        <f aca="false">IFERROR((((Assumptions!$B$5+Assumptions!$B$17+Assumptions!$B$6-Assumptions!$B$7-Assumptions!$B$16+(Assumptions!$B$36*0.75)-'Purchase Price Allocation'!$B$10-(('Sources &amp; Uses'!$B$9*0.25)-MIN(Assumptions!$B$25,('Sources &amp; Uses'!$B$9*0.25)))*Assumptions!$B$26-MIN(Assumptions!$B$25,('Sources &amp; Uses'!$B$9*0.25))*Assumptions!$B$27)*(1-Assumptions!$B$8))/(Assumptions!$B$9+(('Sources &amp; Uses'!$B$9*(1-0.25))/Assumptions!$B$10)))/'Accretion-Dilution'!$B$4-1,NA())</f>
        <v>-0.0364649810088179</v>
      </c>
      <c r="E13" s="28" t="n">
        <f aca="false">IFERROR((((Assumptions!$B$5+Assumptions!$B$17+Assumptions!$B$6-Assumptions!$B$7-Assumptions!$B$16+(Assumptions!$B$36*0.75)-'Purchase Price Allocation'!$B$10-(('Sources &amp; Uses'!$B$9*0.5)-MIN(Assumptions!$B$25,('Sources &amp; Uses'!$B$9*0.5)))*Assumptions!$B$26-MIN(Assumptions!$B$25,('Sources &amp; Uses'!$B$9*0.5))*Assumptions!$B$27)*(1-Assumptions!$B$8))/(Assumptions!$B$9+(('Sources &amp; Uses'!$B$9*(1-0.5))/Assumptions!$B$10)))/'Accretion-Dilution'!$B$4-1,NA())</f>
        <v>-0.0936558814290076</v>
      </c>
      <c r="F13" s="28" t="n">
        <f aca="false">IFERROR((((Assumptions!$B$5+Assumptions!$B$17+Assumptions!$B$6-Assumptions!$B$7-Assumptions!$B$16+(Assumptions!$B$36*0.75)-'Purchase Price Allocation'!$B$10-(('Sources &amp; Uses'!$B$9*0.75)-MIN(Assumptions!$B$25,('Sources &amp; Uses'!$B$9*0.75)))*Assumptions!$B$26-MIN(Assumptions!$B$25,('Sources &amp; Uses'!$B$9*0.75))*Assumptions!$B$27)*(1-Assumptions!$B$8))/(Assumptions!$B$9+(('Sources &amp; Uses'!$B$9*(1-0.75))/Assumptions!$B$10)))/'Accretion-Dilution'!$B$4-1,NA())</f>
        <v>-0.153350835614238</v>
      </c>
      <c r="G13" s="28" t="n">
        <f aca="false">IFERROR((((Assumptions!$B$5+Assumptions!$B$17+Assumptions!$B$6-Assumptions!$B$7-Assumptions!$B$16+(Assumptions!$B$36*0.75)-'Purchase Price Allocation'!$B$10-(('Sources &amp; Uses'!$B$9*1)-MIN(Assumptions!$B$25,('Sources &amp; Uses'!$B$9*1)))*Assumptions!$B$26-MIN(Assumptions!$B$25,('Sources &amp; Uses'!$B$9*1))*Assumptions!$B$27)*(1-Assumptions!$B$8))/(Assumptions!$B$9+(('Sources &amp; Uses'!$B$9*(1-1))/Assumptions!$B$10)))/'Accretion-Dilution'!$B$4-1,NA())</f>
        <v>-0.215717981163506</v>
      </c>
    </row>
    <row r="14" customFormat="false" ht="15" hidden="false" customHeight="false" outlineLevel="0" collapsed="false">
      <c r="B14" s="6" t="s">
        <v>133</v>
      </c>
      <c r="C14" s="28" t="n">
        <f aca="false">IFERROR((((Assumptions!$B$5+Assumptions!$B$17+Assumptions!$B$6-Assumptions!$B$7-Assumptions!$B$16+(Assumptions!$B$36*1)-'Purchase Price Allocation'!$B$10-(('Sources &amp; Uses'!$B$9*0)-MIN(Assumptions!$B$25,('Sources &amp; Uses'!$B$9*0)))*Assumptions!$B$26-MIN(Assumptions!$B$25,('Sources &amp; Uses'!$B$9*0))*Assumptions!$B$27)*(1-Assumptions!$B$8))/(Assumptions!$B$9+(('Sources &amp; Uses'!$B$9*(1-0))/Assumptions!$B$10)))/'Accretion-Dilution'!$B$4-1,NA())</f>
        <v>0.00896738695414023</v>
      </c>
      <c r="D14" s="28" t="n">
        <f aca="false">IFERROR((((Assumptions!$B$5+Assumptions!$B$17+Assumptions!$B$6-Assumptions!$B$7-Assumptions!$B$16+(Assumptions!$B$36*1)-'Purchase Price Allocation'!$B$10-(('Sources &amp; Uses'!$B$9*0.25)-MIN(Assumptions!$B$25,('Sources &amp; Uses'!$B$9*0.25)))*Assumptions!$B$26-MIN(Assumptions!$B$25,('Sources &amp; Uses'!$B$9*0.25))*Assumptions!$B$27)*(1-Assumptions!$B$8))/(Assumptions!$B$9+(('Sources &amp; Uses'!$B$9*(1-0.25))/Assumptions!$B$10)))/'Accretion-Dilution'!$B$4-1,NA())</f>
        <v>-0.0244573085564508</v>
      </c>
      <c r="E14" s="28" t="n">
        <f aca="false">IFERROR((((Assumptions!$B$5+Assumptions!$B$17+Assumptions!$B$6-Assumptions!$B$7-Assumptions!$B$16+(Assumptions!$B$36*1)-'Purchase Price Allocation'!$B$10-(('Sources &amp; Uses'!$B$9*0.5)-MIN(Assumptions!$B$25,('Sources &amp; Uses'!$B$9*0.5)))*Assumptions!$B$26-MIN(Assumptions!$B$25,('Sources &amp; Uses'!$B$9*0.5))*Assumptions!$B$27)*(1-Assumptions!$B$8))/(Assumptions!$B$9+(('Sources &amp; Uses'!$B$9*(1-0.5))/Assumptions!$B$10)))/'Accretion-Dilution'!$B$4-1,NA())</f>
        <v>-0.0813909677773937</v>
      </c>
      <c r="F14" s="28" t="n">
        <f aca="false">IFERROR((((Assumptions!$B$5+Assumptions!$B$17+Assumptions!$B$6-Assumptions!$B$7-Assumptions!$B$16+(Assumptions!$B$36*1)-'Purchase Price Allocation'!$B$10-(('Sources &amp; Uses'!$B$9*0.75)-MIN(Assumptions!$B$25,('Sources &amp; Uses'!$B$9*0.75)))*Assumptions!$B$26-MIN(Assumptions!$B$25,('Sources &amp; Uses'!$B$9*0.75))*Assumptions!$B$27)*(1-Assumptions!$B$8))/(Assumptions!$B$9+(('Sources &amp; Uses'!$B$9*(1-0.75))/Assumptions!$B$10)))/'Accretion-Dilution'!$B$4-1,NA())</f>
        <v>-0.140817417681509</v>
      </c>
      <c r="G14" s="28" t="n">
        <f aca="false">IFERROR((((Assumptions!$B$5+Assumptions!$B$17+Assumptions!$B$6-Assumptions!$B$7-Assumptions!$B$16+(Assumptions!$B$36*1)-'Purchase Price Allocation'!$B$10-(('Sources &amp; Uses'!$B$9*1)-MIN(Assumptions!$B$25,('Sources &amp; Uses'!$B$9*1)))*Assumptions!$B$26-MIN(Assumptions!$B$25,('Sources &amp; Uses'!$B$9*1))*Assumptions!$B$27)*(1-Assumptions!$B$8))/(Assumptions!$B$9+(('Sources &amp; Uses'!$B$9*(1-1))/Assumptions!$B$10)))/'Accretion-Dilution'!$B$4-1,NA())</f>
        <v>-0.20290403959508</v>
      </c>
    </row>
    <row r="17" customFormat="false" ht="15" hidden="false" customHeight="false" outlineLevel="0" collapsed="false">
      <c r="A17" s="4" t="s">
        <v>134</v>
      </c>
    </row>
    <row r="18" customFormat="false" ht="30" hidden="false" customHeight="true" outlineLevel="0" collapsed="false">
      <c r="A18" s="29" t="s">
        <v>135</v>
      </c>
      <c r="B18" s="29"/>
      <c r="C18" s="29"/>
      <c r="D18" s="29"/>
      <c r="E18" s="29"/>
      <c r="F18" s="29"/>
    </row>
    <row r="20" customFormat="false" ht="15" hidden="false" customHeight="false" outlineLevel="0" collapsed="false">
      <c r="A20" s="16" t="s">
        <v>136</v>
      </c>
      <c r="B20" s="19" t="n">
        <f aca="false">'Accretion-Dilution'!$B$4*Assumptions!$B$9/(1-Assumptions!$B$8)</f>
        <v>1951</v>
      </c>
    </row>
    <row r="21" customFormat="false" ht="15" hidden="false" customHeight="false" outlineLevel="0" collapsed="false">
      <c r="A21" s="16" t="s">
        <v>137</v>
      </c>
      <c r="B21" s="19" t="n">
        <f aca="false">Assumptions!$B$5+Assumptions!$B$17+Assumptions!$B$6-Assumptions!$B$7-Assumptions!$B$16-'Purchase Price Allocation'!$B$10-'Sources &amp; Uses'!$B$16*Assumptions!$B$26-'Sources &amp; Uses'!$B$15*Assumptions!$B$27</f>
        <v>1455.13421875</v>
      </c>
    </row>
    <row r="22" customFormat="false" ht="15" hidden="false" customHeight="false" outlineLevel="0" collapsed="false">
      <c r="A22" s="4" t="s">
        <v>138</v>
      </c>
      <c r="B22" s="13" t="n">
        <f aca="false">B20-B21</f>
        <v>495.86578125</v>
      </c>
    </row>
    <row r="23" customFormat="false" ht="15" hidden="false" customHeight="false" outlineLevel="0" collapsed="false">
      <c r="A23" s="4" t="s">
        <v>139</v>
      </c>
      <c r="B23" s="20" t="n">
        <f aca="false">B22/Assumptions!$B$37</f>
        <v>991.7315625</v>
      </c>
    </row>
    <row r="24" customFormat="false" ht="15" hidden="false" customHeight="false" outlineLevel="0" collapsed="false">
      <c r="A24" s="16" t="s">
        <v>140</v>
      </c>
      <c r="B24" s="17" t="n">
        <f aca="false">Assumptions!$B$36</f>
        <v>100</v>
      </c>
    </row>
  </sheetData>
  <mergeCells count="1"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2026-09-12T10:15:24Z</dcterms:created>
  <dc:creator>openpyxl</dc:creator>
  <dc:description/>
  <dc:language>en-US</dc:language>
  <cp:lastModifiedBy/>
  <dcterms:modified xsi:type="dcterms:W3CDTF">2026-09-12T10:15:24Z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